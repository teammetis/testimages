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Users\nathanimse\code\AI.MCS-Data\kb-vault\sbs-eval\en-US\Code_Interpreter_1022_eval\20251125\data\sc3_IT\"/>
    </mc:Choice>
  </mc:AlternateContent>
  <xr:revisionPtr revIDLastSave="0" documentId="13_ncr:1_{286CF6E6-813A-41EB-9C0E-0FC13671427A}" xr6:coauthVersionLast="47" xr6:coauthVersionMax="47" xr10:uidLastSave="{00000000-0000-0000-0000-000000000000}"/>
  <bookViews>
    <workbookView xWindow="3495" yWindow="3495" windowWidth="19290" windowHeight="10320" xr2:uid="{7BF75968-A50F-4649-A301-F41DB79A555D}"/>
  </bookViews>
  <sheets>
    <sheet name="COGS_Estimates" sheetId="4" r:id="rId1"/>
    <sheet name="COGS_Estimates_Backup" sheetId="1" r:id="rId2"/>
    <sheet name="Ezras_Usage_Stats_20250219" sheetId="2" r:id="rId3"/>
    <sheet name="GPU_Architectures" sheetId="3" r:id="rId4"/>
    <sheet name="Cost_per_Token"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4" l="1"/>
  <c r="P77" i="4"/>
  <c r="O77" i="4"/>
  <c r="O30" i="4"/>
  <c r="P30" i="4"/>
  <c r="P76" i="4"/>
  <c r="P75" i="4"/>
  <c r="P74" i="4"/>
  <c r="P29" i="4"/>
  <c r="P28" i="4"/>
  <c r="P27" i="4"/>
  <c r="P67" i="4"/>
  <c r="P66" i="4"/>
  <c r="P65" i="4"/>
  <c r="P64" i="4"/>
  <c r="P63" i="4"/>
  <c r="P62" i="4"/>
  <c r="P61" i="4"/>
  <c r="P60" i="4"/>
  <c r="P59" i="4"/>
  <c r="P58" i="4"/>
  <c r="P57" i="4"/>
  <c r="P56" i="4"/>
  <c r="P55" i="4"/>
  <c r="P54" i="4"/>
  <c r="P53" i="4"/>
  <c r="P52" i="4"/>
  <c r="C34" i="4"/>
  <c r="P20" i="4"/>
  <c r="P19" i="4"/>
  <c r="P18" i="4"/>
  <c r="P17" i="4"/>
  <c r="P16" i="4"/>
  <c r="P15" i="4"/>
  <c r="P14" i="4"/>
  <c r="P13" i="4"/>
  <c r="P12" i="4"/>
  <c r="P11" i="4"/>
  <c r="P10" i="4"/>
  <c r="P9" i="4"/>
  <c r="P8" i="4"/>
  <c r="P7" i="4"/>
  <c r="P6" i="4"/>
  <c r="P5" i="4"/>
  <c r="O76" i="4"/>
  <c r="O75" i="4"/>
  <c r="O74" i="4"/>
  <c r="W27" i="4"/>
  <c r="I7" i="5"/>
  <c r="I6" i="5"/>
  <c r="I5" i="5"/>
  <c r="I4" i="5"/>
  <c r="C35" i="4"/>
  <c r="C36" i="4" s="1"/>
  <c r="U31" i="4"/>
  <c r="V29" i="4"/>
  <c r="V28" i="4"/>
  <c r="V27" i="4"/>
  <c r="H6" i="4"/>
  <c r="H5" i="4"/>
  <c r="W29" i="4"/>
  <c r="W28" i="4"/>
  <c r="I6" i="4"/>
  <c r="I5" i="4"/>
  <c r="F32" i="4"/>
  <c r="I32" i="4" s="1"/>
  <c r="F31" i="4"/>
  <c r="I31" i="4" s="1"/>
  <c r="F30" i="4"/>
  <c r="F29" i="4"/>
  <c r="F28" i="4"/>
  <c r="F27" i="4"/>
  <c r="F26" i="4"/>
  <c r="I26" i="4" s="1"/>
  <c r="F25" i="4"/>
  <c r="I25" i="4" s="1"/>
  <c r="F24" i="4"/>
  <c r="I24" i="4" s="1"/>
  <c r="F23" i="4"/>
  <c r="I23" i="4" s="1"/>
  <c r="F22" i="4"/>
  <c r="F21" i="4"/>
  <c r="F20" i="4"/>
  <c r="F19" i="4"/>
  <c r="I19" i="4" s="1"/>
  <c r="F18" i="4"/>
  <c r="F17" i="4"/>
  <c r="F16" i="4"/>
  <c r="F15" i="4"/>
  <c r="F14" i="4"/>
  <c r="F13" i="4"/>
  <c r="F12" i="4"/>
  <c r="F11" i="4"/>
  <c r="F10" i="4"/>
  <c r="I10" i="4" s="1"/>
  <c r="F9" i="4"/>
  <c r="F8" i="4"/>
  <c r="F7" i="4"/>
  <c r="G30" i="4"/>
  <c r="G29" i="4"/>
  <c r="G28" i="4"/>
  <c r="G27" i="4"/>
  <c r="G22" i="4"/>
  <c r="G21" i="4"/>
  <c r="G20" i="4"/>
  <c r="G18" i="4"/>
  <c r="G17" i="4"/>
  <c r="G16" i="4"/>
  <c r="G15" i="4"/>
  <c r="G14" i="4"/>
  <c r="G13" i="4"/>
  <c r="H13" i="4" s="1"/>
  <c r="G12" i="4"/>
  <c r="G11" i="4"/>
  <c r="G9" i="4"/>
  <c r="G8" i="4"/>
  <c r="G7" i="4"/>
  <c r="O29" i="4"/>
  <c r="T29" i="4" s="1"/>
  <c r="O28" i="4"/>
  <c r="T28" i="4" s="1"/>
  <c r="O27" i="4"/>
  <c r="T27" i="4" s="1"/>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O9" i="2"/>
  <c r="N8" i="2"/>
  <c r="M41" i="1"/>
  <c r="O41" i="1" s="1"/>
  <c r="M40" i="1"/>
  <c r="O40" i="1" s="1"/>
  <c r="M39" i="1"/>
  <c r="O39" i="1" s="1"/>
  <c r="M38" i="1"/>
  <c r="O38" i="1" s="1"/>
  <c r="M37" i="1"/>
  <c r="M36" i="1"/>
  <c r="M35" i="1"/>
  <c r="M34" i="1"/>
  <c r="M33" i="1"/>
  <c r="M32" i="1"/>
  <c r="O32" i="1" s="1"/>
  <c r="M31" i="1"/>
  <c r="O31" i="1" s="1"/>
  <c r="M30" i="1"/>
  <c r="O30" i="1" s="1"/>
  <c r="M29" i="1"/>
  <c r="O29" i="1" s="1"/>
  <c r="M28" i="1"/>
  <c r="O28" i="1" s="1"/>
  <c r="M27" i="1"/>
  <c r="M26" i="1"/>
  <c r="O26" i="1" s="1"/>
  <c r="M25" i="1"/>
  <c r="M24" i="1"/>
  <c r="M23" i="1"/>
  <c r="O23" i="1" s="1"/>
  <c r="M22" i="1"/>
  <c r="O22" i="1" s="1"/>
  <c r="M21" i="1"/>
  <c r="O21" i="1" s="1"/>
  <c r="M20" i="1"/>
  <c r="O20" i="1" s="1"/>
  <c r="M19" i="1"/>
  <c r="O19" i="1" s="1"/>
  <c r="M18" i="1"/>
  <c r="O18" i="1" s="1"/>
  <c r="M17" i="1"/>
  <c r="O17" i="1" s="1"/>
  <c r="M16" i="1"/>
  <c r="O16" i="1" s="1"/>
  <c r="M15" i="1"/>
  <c r="O15" i="1" s="1"/>
  <c r="M14" i="1"/>
  <c r="O14" i="1" s="1"/>
  <c r="M13" i="1"/>
  <c r="O13" i="1" s="1"/>
  <c r="M12" i="1"/>
  <c r="O12" i="1" s="1"/>
  <c r="M11" i="1"/>
  <c r="O11" i="1" s="1"/>
  <c r="M10" i="1"/>
  <c r="O10" i="1" s="1"/>
  <c r="G37" i="1"/>
  <c r="O37" i="1" s="1"/>
  <c r="G36" i="1"/>
  <c r="S36" i="1" s="1"/>
  <c r="G35" i="1"/>
  <c r="S35" i="1" s="1"/>
  <c r="G34" i="1"/>
  <c r="S34" i="1" s="1"/>
  <c r="G33" i="1"/>
  <c r="G32" i="1"/>
  <c r="G31" i="1"/>
  <c r="G30" i="1"/>
  <c r="G29" i="1"/>
  <c r="S29" i="1" s="1"/>
  <c r="G28" i="1"/>
  <c r="S28" i="1" s="1"/>
  <c r="G27" i="1"/>
  <c r="S27" i="1" s="1"/>
  <c r="G26" i="1"/>
  <c r="S26" i="1" s="1"/>
  <c r="G25" i="1"/>
  <c r="S25" i="1" s="1"/>
  <c r="G24" i="1"/>
  <c r="O24" i="1" s="1"/>
  <c r="G23" i="1"/>
  <c r="G22" i="1"/>
  <c r="G21" i="1"/>
  <c r="G20" i="1"/>
  <c r="G19" i="1"/>
  <c r="S19" i="1" s="1"/>
  <c r="G18" i="1"/>
  <c r="S18" i="1" s="1"/>
  <c r="G17" i="1"/>
  <c r="S17" i="1" s="1"/>
  <c r="G16" i="1"/>
  <c r="G15" i="1"/>
  <c r="G14" i="1"/>
  <c r="G13" i="1"/>
  <c r="G12" i="1"/>
  <c r="G11" i="1"/>
  <c r="S11" i="1" s="1"/>
  <c r="G10" i="1"/>
  <c r="S10" i="1" s="1"/>
  <c r="S37" i="1"/>
  <c r="S21" i="1"/>
  <c r="S20" i="1"/>
  <c r="S13" i="1"/>
  <c r="S12" i="1"/>
  <c r="I53" i="1"/>
  <c r="I52" i="1"/>
  <c r="I51" i="1"/>
  <c r="I50" i="1"/>
  <c r="I49" i="1"/>
  <c r="I47" i="1"/>
  <c r="I46" i="1"/>
  <c r="I45" i="1"/>
  <c r="I44" i="1"/>
  <c r="I40" i="1"/>
  <c r="I38" i="1"/>
  <c r="E32" i="1"/>
  <c r="D32" i="1"/>
  <c r="E27" i="1"/>
  <c r="D27" i="1"/>
  <c r="E23" i="1"/>
  <c r="D23" i="1"/>
  <c r="E22" i="1"/>
  <c r="D22" i="1"/>
  <c r="E51" i="1"/>
  <c r="E50" i="1"/>
  <c r="E49" i="1"/>
  <c r="E35" i="1"/>
  <c r="E47" i="1"/>
  <c r="E34" i="1"/>
  <c r="O34" i="1" s="1"/>
  <c r="E33" i="1"/>
  <c r="E26" i="1"/>
  <c r="E25" i="1"/>
  <c r="E21" i="1"/>
  <c r="E20" i="1"/>
  <c r="E19" i="1"/>
  <c r="E18" i="1"/>
  <c r="E17" i="1"/>
  <c r="E16" i="1"/>
  <c r="E14" i="1"/>
  <c r="E13" i="1"/>
  <c r="E12" i="1"/>
  <c r="D37" i="1"/>
  <c r="I37" i="1" s="1"/>
  <c r="D36" i="1"/>
  <c r="I36" i="1" s="1"/>
  <c r="D51" i="1"/>
  <c r="D50" i="1"/>
  <c r="D49" i="1"/>
  <c r="D35" i="1"/>
  <c r="D47" i="1"/>
  <c r="D34" i="1"/>
  <c r="D33" i="1"/>
  <c r="D31" i="1"/>
  <c r="D30" i="1"/>
  <c r="D29" i="1"/>
  <c r="I29" i="1" s="1"/>
  <c r="D28" i="1"/>
  <c r="D26" i="1"/>
  <c r="D25" i="1"/>
  <c r="D24" i="1"/>
  <c r="D21" i="1"/>
  <c r="I21" i="1" s="1"/>
  <c r="D20" i="1"/>
  <c r="D19" i="1"/>
  <c r="D18" i="1"/>
  <c r="D17" i="1"/>
  <c r="D16" i="1"/>
  <c r="D15" i="1"/>
  <c r="D14" i="1"/>
  <c r="D13" i="1"/>
  <c r="D12" i="1"/>
  <c r="K35" i="2"/>
  <c r="L35" i="2" s="1"/>
  <c r="K34" i="2"/>
  <c r="L34" i="2" s="1"/>
  <c r="K33" i="2"/>
  <c r="L33" i="2" s="1"/>
  <c r="K32" i="2"/>
  <c r="L32" i="2" s="1"/>
  <c r="K31" i="2"/>
  <c r="L31" i="2" s="1"/>
  <c r="K30" i="2"/>
  <c r="L30" i="2" s="1"/>
  <c r="K29" i="2"/>
  <c r="L29" i="2" s="1"/>
  <c r="K28" i="2"/>
  <c r="L28" i="2" s="1"/>
  <c r="K27" i="2"/>
  <c r="L27" i="2" s="1"/>
  <c r="K26" i="2"/>
  <c r="L26" i="2" s="1"/>
  <c r="K25" i="2"/>
  <c r="L25" i="2" s="1"/>
  <c r="K24" i="2"/>
  <c r="L24" i="2" s="1"/>
  <c r="K23" i="2"/>
  <c r="L23" i="2" s="1"/>
  <c r="K22" i="2"/>
  <c r="L22" i="2" s="1"/>
  <c r="K21" i="2"/>
  <c r="L21" i="2" s="1"/>
  <c r="K20" i="2"/>
  <c r="L20" i="2" s="1"/>
  <c r="K19" i="2"/>
  <c r="L19" i="2" s="1"/>
  <c r="K18" i="2"/>
  <c r="L18" i="2" s="1"/>
  <c r="K17" i="2"/>
  <c r="L17" i="2" s="1"/>
  <c r="K16" i="2"/>
  <c r="L16" i="2" s="1"/>
  <c r="K15" i="2"/>
  <c r="L15" i="2" s="1"/>
  <c r="K14" i="2"/>
  <c r="L14" i="2" s="1"/>
  <c r="K13" i="2"/>
  <c r="L13" i="2" s="1"/>
  <c r="K12" i="2"/>
  <c r="L12" i="2" s="1"/>
  <c r="K11" i="2"/>
  <c r="L11" i="2" s="1"/>
  <c r="K10" i="2"/>
  <c r="L10" i="2" s="1"/>
  <c r="K9" i="2"/>
  <c r="L9" i="2" s="1"/>
  <c r="K8" i="2"/>
  <c r="L8" i="2" s="1"/>
  <c r="P69" i="4" l="1"/>
  <c r="P22" i="4"/>
  <c r="H18" i="4"/>
  <c r="H7" i="4"/>
  <c r="H15" i="4"/>
  <c r="H20" i="4"/>
  <c r="H16" i="4"/>
  <c r="H12" i="4"/>
  <c r="H21" i="4"/>
  <c r="V31" i="4"/>
  <c r="V32" i="4" s="1"/>
  <c r="H11" i="4"/>
  <c r="H9" i="4"/>
  <c r="H29" i="4"/>
  <c r="H19" i="4"/>
  <c r="H27" i="4"/>
  <c r="H28" i="4"/>
  <c r="H17" i="4"/>
  <c r="H14" i="4"/>
  <c r="H22" i="4"/>
  <c r="H30" i="4"/>
  <c r="H25" i="4"/>
  <c r="H8" i="4"/>
  <c r="H26" i="4"/>
  <c r="H10" i="4"/>
  <c r="H23" i="4"/>
  <c r="H31" i="4"/>
  <c r="H24" i="4"/>
  <c r="H32" i="4"/>
  <c r="W37" i="4"/>
  <c r="I13" i="4"/>
  <c r="I22" i="4"/>
  <c r="I18" i="4"/>
  <c r="I28" i="4"/>
  <c r="I29" i="4"/>
  <c r="I11" i="4"/>
  <c r="I27" i="4"/>
  <c r="I14" i="4"/>
  <c r="I30" i="4"/>
  <c r="I7" i="4"/>
  <c r="I15" i="4"/>
  <c r="I20" i="4"/>
  <c r="I8" i="4"/>
  <c r="I16" i="4"/>
  <c r="I12" i="4"/>
  <c r="I21" i="4"/>
  <c r="I9" i="4"/>
  <c r="I17" i="4"/>
  <c r="D43" i="1"/>
  <c r="O35" i="1"/>
  <c r="O27" i="1"/>
  <c r="O36" i="1"/>
  <c r="E43" i="1"/>
  <c r="O25" i="1"/>
  <c r="O33" i="1"/>
  <c r="I19" i="1"/>
  <c r="I18" i="1"/>
  <c r="I11" i="1"/>
  <c r="I10" i="1"/>
  <c r="I12" i="1"/>
  <c r="I20" i="1"/>
  <c r="I28" i="1"/>
  <c r="I26" i="1"/>
  <c r="I35" i="1"/>
  <c r="I17" i="1"/>
  <c r="I13" i="1"/>
  <c r="I27" i="1"/>
  <c r="I34" i="1"/>
  <c r="I25" i="1"/>
  <c r="I14" i="1"/>
  <c r="S14" i="1"/>
  <c r="I15" i="1"/>
  <c r="S15" i="1"/>
  <c r="I16" i="1"/>
  <c r="S16" i="1"/>
  <c r="I22" i="1"/>
  <c r="S22" i="1"/>
  <c r="I23" i="1"/>
  <c r="S23" i="1"/>
  <c r="I24" i="1"/>
  <c r="S24" i="1"/>
  <c r="I30" i="1"/>
  <c r="S30" i="1"/>
  <c r="I31" i="1"/>
  <c r="S31" i="1"/>
  <c r="I32" i="1"/>
  <c r="S32" i="1"/>
  <c r="I33" i="1"/>
  <c r="S33" i="1"/>
  <c r="W43" i="4" l="1"/>
  <c r="H35" i="4"/>
  <c r="H36" i="4" s="1"/>
  <c r="I37" i="4"/>
  <c r="O43" i="1"/>
  <c r="I43" i="1"/>
  <c r="I56" i="1"/>
  <c r="I40" i="4" l="1"/>
  <c r="C43" i="4" l="1"/>
  <c r="W38" i="4"/>
  <c r="X38"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tc={C308588C-155C-8244-8466-781F8102FDE5}</author>
    <author>tc={75FCB50F-7EE1-8042-9B33-74A7EAED8C6C}</author>
    <author>tc={2F91CF3F-418C-5746-91FD-92E049F762C8}</author>
    <author>tc={7E6C2285-683E-534A-AA52-C749208EE352}</author>
  </authors>
  <commentList>
    <comment ref="F4" authorId="0" shapeId="0" xr:uid="{C308588C-155C-8244-8466-781F8102FDE5}">
      <text>
        <t>[Threaded comment]
Your version of Excel allows you to read this threaded comment; however, any edits to it will get removed if the file is opened in a newer version of Excel. Learn more: https://go.microsoft.com/fwlink/?linkid=870924
Comment:
    Really only 2 instances even in North American regions?</t>
      </text>
    </comment>
    <comment ref="I4" authorId="1" shapeId="0" xr:uid="{75FCB50F-7EE1-8042-9B33-74A7EAED8C6C}">
      <text>
        <t>[Threaded comment]
Your version of Excel allows you to read this threaded comment; however, any edits to it will get removed if the file is opened in a newer version of Excel. Learn more: https://go.microsoft.com/fwlink/?linkid=870924
Comment:
    Monthly pricing appears to be hourly * 365 * 24 / 12 (without accounting for leap years)</t>
      </text>
    </comment>
    <comment ref="K4" authorId="2" shapeId="0" xr:uid="{2F91CF3F-418C-5746-91FD-92E049F762C8}">
      <text>
        <t>[Threaded comment]
Your version of Excel allows you to read this threaded comment; however, any edits to it will get removed if the file is opened in a newer version of Excel. Learn more: https://go.microsoft.com/fwlink/?linkid=870924
Comment:
    Used to compute current P90 and cost of the ~3-5 regions we expect to route to.</t>
      </text>
    </comment>
    <comment ref="C36" authorId="3" shapeId="0" xr:uid="{7E6C2285-683E-534A-AA52-C749208EE352}">
      <text>
        <t>[Threaded comment]
Your version of Excel allows you to read this threaded comment; however, any edits to it will get removed if the file is opened in a newer version of Excel. Learn more: https://go.microsoft.com/fwlink/?linkid=870924
Comment:
    @512 tokens/chunk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tc={78DBA854-2E65-4D47-A272-3B50E6BB1FB0}</author>
    <author>tc={FB4A73B9-B494-7748-B4CE-0C4A44BAE8F0}</author>
    <author>tc={6A45841D-592E-634E-8AFA-1B8072236164}</author>
    <author>tc={122B22EC-C028-F845-BF49-279B913C59A2}</author>
    <author>tc={7A2D7DB8-4AF2-A74A-B778-104AB9F095B1}</author>
  </authors>
  <commentList>
    <comment ref="C8" authorId="0" shapeId="0" xr:uid="{78DBA854-2E65-4D47-A272-3B50E6BB1FB0}">
      <text>
        <t xml:space="preserve">[Threaded comment]
Your version of Excel allows you to read this threaded comment; however, any edits to it will get removed if the file is opened in a newer version of Excel. Learn more: https://go.microsoft.com/fwlink/?linkid=870924
Comment:
    Copied on 2025-02-19 from https://microsoft.sharepoint.com/:x:/t/Business360AITeam/EUhCJ5QZAp1PqujLXxCvLuIBCveYuFZowGbmL7uoKIh_Dw?e=vgPbVy&amp;wdOrigin=LOOP-WEB.PREVIEW.NT&amp;wduihid=4c5491cd-fddd-49a8-87c8-b9006a642f8a&amp;web=1&amp;ct=1739898637997
</t>
      </text>
    </comment>
    <comment ref="D8" authorId="1" shapeId="0" xr:uid="{FB4A73B9-B494-7748-B4CE-0C4A44BAE8F0}">
      <text>
        <t>[Threaded comment]
Your version of Excel allows you to read this threaded comment; however, any edits to it will get removed if the file is opened in a newer version of Excel. Learn more: https://go.microsoft.com/fwlink/?linkid=870924
Comment:
    Really only 2 instances even in North American regions?</t>
      </text>
    </comment>
    <comment ref="G8" authorId="2" shapeId="0" xr:uid="{6A45841D-592E-634E-8AFA-1B8072236164}">
      <text>
        <t>[Threaded comment]
Your version of Excel allows you to read this threaded comment; however, any edits to it will get removed if the file is opened in a newer version of Excel. Learn more: https://go.microsoft.com/fwlink/?linkid=870924
Comment:
    Monthly pricing appears to be hourly * 365 * 24 / 12 (without accounting for leap years)</t>
      </text>
    </comment>
    <comment ref="M8" authorId="3" shapeId="0" xr:uid="{122B22EC-C028-F845-BF49-279B913C59A2}">
      <text>
        <t>[Threaded comment]
Your version of Excel allows you to read this threaded comment; however, any edits to it will get removed if the file is opened in a newer version of Excel. Learn more: https://go.microsoft.com/fwlink/?linkid=870924
Comment:
    Monthly pricing appears to be hourly * 365 * 24 / 12 (without accounting for leap years)</t>
      </text>
    </comment>
    <comment ref="N8" authorId="4" shapeId="0" xr:uid="{7A2D7DB8-4AF2-A74A-B778-104AB9F095B1}">
      <text>
        <t>[Threaded comment]
Your version of Excel allows you to read this threaded comment; however, any edits to it will get removed if the file is opened in a newer version of Excel. Learn more: https://go.microsoft.com/fwlink/?linkid=870924
Comment:
    'X' denotes that CPU endpoints are deployed in this region (for regions we cannot route to GPUs elsewhere). Assumes the same D8as v4 instances we currently use for MEF, but only Multilingual (no English-only endpoints).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tc={0175A26C-13E0-FD4D-A9D0-A7905784B2FC}</author>
  </authors>
  <commentList>
    <comment ref="M7" authorId="0" shapeId="0" xr:uid="{0175A26C-13E0-FD4D-A9D0-A7905784B2FC}">
      <text>
        <t>[Threaded comment]
Your version of Excel allows you to read this threaded comment; however, any edits to it will get removed if the file is opened in a newer version of Excel. Learn more: https://go.microsoft.com/fwlink/?linkid=870924
Comment:
    Evenly distributing requests over full month</t>
      </text>
    </comment>
  </commentList>
</comments>
</file>

<file path=xl/sharedStrings.xml><?xml version="1.0" encoding="utf-8"?>
<sst xmlns="http://schemas.openxmlformats.org/spreadsheetml/2006/main" count="447" uniqueCount="231">
  <si>
    <t>Current MEF Deployments</t>
  </si>
  <si>
    <t>D8AS_v4 kTPS</t>
  </si>
  <si>
    <t>Ezra's P90 Counts</t>
  </si>
  <si>
    <t>Node Count</t>
  </si>
  <si>
    <t>Region</t>
  </si>
  <si>
    <t>Req_Mon</t>
  </si>
  <si>
    <t>D8AS_v4_Retail</t>
  </si>
  <si>
    <t>Eng</t>
  </si>
  <si>
    <t>Ml</t>
  </si>
  <si>
    <t>Est_TPS</t>
  </si>
  <si>
    <t>Monthly_$</t>
  </si>
  <si>
    <t>CAPI_Region</t>
  </si>
  <si>
    <t>geo</t>
  </si>
  <si>
    <t>p90-tps</t>
  </si>
  <si>
    <t>Routing</t>
  </si>
  <si>
    <t>eastus</t>
  </si>
  <si>
    <t>us</t>
  </si>
  <si>
    <t>US</t>
  </si>
  <si>
    <t>westus</t>
  </si>
  <si>
    <t>in</t>
  </si>
  <si>
    <t>India -&gt; EU</t>
  </si>
  <si>
    <t>eu</t>
  </si>
  <si>
    <t>northeurope</t>
  </si>
  <si>
    <t>jp</t>
  </si>
  <si>
    <t>Japan -&gt; EU</t>
  </si>
  <si>
    <t>westeurope</t>
  </si>
  <si>
    <t>br</t>
  </si>
  <si>
    <t>Brazil -&gt; US</t>
  </si>
  <si>
    <t>southeastasia</t>
  </si>
  <si>
    <t>as</t>
  </si>
  <si>
    <t>Asia -&gt; EU</t>
  </si>
  <si>
    <t>uksouth</t>
  </si>
  <si>
    <t>uk</t>
  </si>
  <si>
    <t>EU</t>
  </si>
  <si>
    <t>eastasia</t>
  </si>
  <si>
    <t>kr</t>
  </si>
  <si>
    <t>Korea -&gt; EU</t>
  </si>
  <si>
    <t>japaneast</t>
  </si>
  <si>
    <t>au</t>
  </si>
  <si>
    <t>Australia -&gt; EU</t>
  </si>
  <si>
    <t>japanwest</t>
  </si>
  <si>
    <t>UK -&gt; EU</t>
  </si>
  <si>
    <t>ukwest</t>
  </si>
  <si>
    <t>no</t>
  </si>
  <si>
    <t>Norway -&gt; EU</t>
  </si>
  <si>
    <t>brazilsouth</t>
  </si>
  <si>
    <t>ca</t>
  </si>
  <si>
    <t>Canada -&gt; US</t>
  </si>
  <si>
    <t>centralindia</t>
  </si>
  <si>
    <t>za</t>
  </si>
  <si>
    <t>South Africa -&gt; EU</t>
  </si>
  <si>
    <t>canadacentral</t>
  </si>
  <si>
    <t>de</t>
  </si>
  <si>
    <t>Germany -&gt; EU</t>
  </si>
  <si>
    <t>southindia</t>
  </si>
  <si>
    <t>ae</t>
  </si>
  <si>
    <t>East Australia -&gt; EU</t>
  </si>
  <si>
    <t>australiaeast</t>
  </si>
  <si>
    <t>fr</t>
  </si>
  <si>
    <t>France -&gt; EU</t>
  </si>
  <si>
    <t>canadaeast</t>
  </si>
  <si>
    <t>ch</t>
  </si>
  <si>
    <t xml:space="preserve">Switzerland </t>
  </si>
  <si>
    <t>sw</t>
  </si>
  <si>
    <t>australiasoutheast</t>
  </si>
  <si>
    <t>uaenorth</t>
  </si>
  <si>
    <t>francesouth</t>
  </si>
  <si>
    <t>A100 kTPS</t>
  </si>
  <si>
    <t>germanywestcentral</t>
  </si>
  <si>
    <t>Planned CAPI Deployments</t>
  </si>
  <si>
    <t>switzerlandnorth</t>
  </si>
  <si>
    <t>germanynorth</t>
  </si>
  <si>
    <t>P90-TPS Sum</t>
  </si>
  <si>
    <t>Req/Mon (m)</t>
  </si>
  <si>
    <t>A100_Hourly</t>
  </si>
  <si>
    <t>A100_Internal</t>
  </si>
  <si>
    <t>Req'd</t>
  </si>
  <si>
    <t>A100_Cnt</t>
  </si>
  <si>
    <t>Est_TPS (k)</t>
  </si>
  <si>
    <t>francecentral</t>
  </si>
  <si>
    <t>switzerlandwest</t>
  </si>
  <si>
    <t>swedencentral</t>
  </si>
  <si>
    <t>koreacentral</t>
  </si>
  <si>
    <t>norwayeast</t>
  </si>
  <si>
    <t>southafricanorth</t>
  </si>
  <si>
    <t>Total Capacity</t>
  </si>
  <si>
    <t>norwaywest</t>
  </si>
  <si>
    <t>westus, swedencentral, northswitzerland</t>
  </si>
  <si>
    <t>mT / month</t>
  </si>
  <si>
    <t>All have 4 GPUs (2 GPUs per node)</t>
  </si>
  <si>
    <t>Total</t>
  </si>
  <si>
    <t>Total (m)</t>
  </si>
  <si>
    <t>Total (Retail)</t>
  </si>
  <si>
    <t>Est Total (Internal)</t>
  </si>
  <si>
    <t>Est Savings (Internal)</t>
  </si>
  <si>
    <t>Estimated</t>
  </si>
  <si>
    <t>Internal Discount</t>
  </si>
  <si>
    <t>$/mT</t>
  </si>
  <si>
    <t>Routing to Damian's 3 Regions (NA, EU+GB, APAC)</t>
  </si>
  <si>
    <t>Same counts as above, different routings</t>
  </si>
  <si>
    <t>Routes Switzerland + Africa -&gt; EU and Americas -&gt; US</t>
  </si>
  <si>
    <t>India -&gt; AS</t>
  </si>
  <si>
    <t>Japan -&gt; AS</t>
  </si>
  <si>
    <t>Asia -&gt; AS</t>
  </si>
  <si>
    <t>Korea -&gt; AS</t>
  </si>
  <si>
    <t>Australia -&gt; AS</t>
  </si>
  <si>
    <t>East Australia -&gt; AS</t>
  </si>
  <si>
    <t>Switzerland  -&gt; EU</t>
  </si>
  <si>
    <t>Planned CAPI Deployments (to Damian's 3 regions)</t>
  </si>
  <si>
    <t>asia_tbd</t>
  </si>
  <si>
    <t>Requests-per-month (RPM) stats copied from Ezra's spreadsheet</t>
  </si>
  <si>
    <t xml:space="preserve">These prices are computed at public retail pricing. </t>
  </si>
  <si>
    <t xml:space="preserve">For internal usage, we will pay a discounted rate. </t>
  </si>
  <si>
    <t>Exact discount on these SKUs TBD, but generally a roughly fixed percentage.</t>
  </si>
  <si>
    <t>A100 TPS</t>
  </si>
  <si>
    <t>Retail Pricing</t>
  </si>
  <si>
    <t>Discount TBD</t>
  </si>
  <si>
    <t>GPU (A100's)</t>
  </si>
  <si>
    <t>D8as v4</t>
  </si>
  <si>
    <t>AMD EPYC 7452 @2.35Ghz</t>
  </si>
  <si>
    <t>Selected regions from Azure web UI (to confirm downloaded and computed pricing in columns G-J)</t>
  </si>
  <si>
    <t>RPM</t>
  </si>
  <si>
    <t>Eng_Cnt</t>
  </si>
  <si>
    <t>Ml_Cnt</t>
  </si>
  <si>
    <t>Retail_Hr</t>
  </si>
  <si>
    <t>Retail_Mon</t>
  </si>
  <si>
    <t>Subtotal_Monthly</t>
  </si>
  <si>
    <t>Cnt</t>
  </si>
  <si>
    <t>GPU_Retail_Hr</t>
  </si>
  <si>
    <t>GPU_Retail_Mon</t>
  </si>
  <si>
    <t>CPU_Endpoints</t>
  </si>
  <si>
    <t>Region_Cost</t>
  </si>
  <si>
    <t>Retail_Hour</t>
  </si>
  <si>
    <t>Mismatch_Warning</t>
  </si>
  <si>
    <t>North America</t>
  </si>
  <si>
    <t>NorthEurope</t>
  </si>
  <si>
    <t>UK</t>
  </si>
  <si>
    <t>X</t>
  </si>
  <si>
    <t>Middle East</t>
  </si>
  <si>
    <t>Africa</t>
  </si>
  <si>
    <t>Asia</t>
  </si>
  <si>
    <t>India</t>
  </si>
  <si>
    <t>South America</t>
  </si>
  <si>
    <t>Australia</t>
  </si>
  <si>
    <t>EU GPU</t>
  </si>
  <si>
    <t>MEF Not Currently Deployed</t>
  </si>
  <si>
    <t>Conservative Req -&gt; P90 TPS Divisor</t>
  </si>
  <si>
    <t>Request_Size_Characters</t>
  </si>
  <si>
    <t>Chars_per_Token</t>
  </si>
  <si>
    <t>envInfo_region</t>
  </si>
  <si>
    <t>size (98)</t>
  </si>
  <si>
    <t>percentile_rps_90</t>
  </si>
  <si>
    <t>cps</t>
  </si>
  <si>
    <t xml:space="preserve">tps </t>
  </si>
  <si>
    <t>Code</t>
  </si>
  <si>
    <t>Successful requests (1 mon)</t>
  </si>
  <si>
    <t>P90 TPS</t>
  </si>
  <si>
    <t>Est Req -&gt; TPS Divisor</t>
  </si>
  <si>
    <t>Mean_TPS</t>
  </si>
  <si>
    <t>Est_TPS_Cons</t>
  </si>
  <si>
    <t>cca</t>
  </si>
  <si>
    <t>cin</t>
  </si>
  <si>
    <t>wus</t>
  </si>
  <si>
    <t>ckr</t>
  </si>
  <si>
    <t>eas</t>
  </si>
  <si>
    <t>eau</t>
  </si>
  <si>
    <t>ejp</t>
  </si>
  <si>
    <t>suk</t>
  </si>
  <si>
    <t>nch</t>
  </si>
  <si>
    <t>sbr</t>
  </si>
  <si>
    <t>GPU Architecture</t>
  </si>
  <si>
    <t>FP32 TFLOPS</t>
  </si>
  <si>
    <t>Azure Series</t>
  </si>
  <si>
    <t>Azure Code</t>
  </si>
  <si>
    <t>Monthly $ (East US)</t>
  </si>
  <si>
    <t>Kepler</t>
  </si>
  <si>
    <t>K80</t>
  </si>
  <si>
    <t>NC</t>
  </si>
  <si>
    <t>NC6</t>
  </si>
  <si>
    <t>Maxwell</t>
  </si>
  <si>
    <t>M60</t>
  </si>
  <si>
    <t>NVv3</t>
  </si>
  <si>
    <t>NV12s v3</t>
  </si>
  <si>
    <t>Turing</t>
  </si>
  <si>
    <t>T4</t>
  </si>
  <si>
    <t>Ncas_T4_v3</t>
  </si>
  <si>
    <t>NC4as T4 v3</t>
  </si>
  <si>
    <t>Pascal</t>
  </si>
  <si>
    <t>P100</t>
  </si>
  <si>
    <t>NCsv2</t>
  </si>
  <si>
    <t>NC6s v2</t>
  </si>
  <si>
    <t>Volta</t>
  </si>
  <si>
    <t>V100</t>
  </si>
  <si>
    <t>NCsv3</t>
  </si>
  <si>
    <t>NC6s v3</t>
  </si>
  <si>
    <t>Ampere</t>
  </si>
  <si>
    <t>A100</t>
  </si>
  <si>
    <t>NC A100 v4</t>
  </si>
  <si>
    <t>NC24ads A100 v4</t>
  </si>
  <si>
    <t>Ding thinks CAPI will want all A100s for simplicity</t>
  </si>
  <si>
    <t>A10</t>
  </si>
  <si>
    <t>31.2 / 6</t>
  </si>
  <si>
    <t>Nvads A10 v5</t>
  </si>
  <si>
    <t>NV6adsv5</t>
  </si>
  <si>
    <t>NV36ads A10 v5</t>
  </si>
  <si>
    <t>Hopper</t>
  </si>
  <si>
    <t>H100</t>
  </si>
  <si>
    <t>Ncads v5</t>
  </si>
  <si>
    <t>NC40ads H100 v5</t>
  </si>
  <si>
    <t>Most TFLOPS from Wikipedia https://en.wikipedia.org/wiki/Volta_(microarchitecture)#Products</t>
  </si>
  <si>
    <t>FP16 would probably be more representative</t>
  </si>
  <si>
    <t>Benchmark</t>
  </si>
  <si>
    <t>Chunk Size</t>
  </si>
  <si>
    <t>Machine</t>
  </si>
  <si>
    <t>CPU_GPU</t>
  </si>
  <si>
    <t>TPS (k)</t>
  </si>
  <si>
    <t>Retail_Cost_Hr</t>
  </si>
  <si>
    <t>Internal Cost/Hr</t>
  </si>
  <si>
    <t>$/1mT</t>
  </si>
  <si>
    <t>Notes</t>
  </si>
  <si>
    <t>Source</t>
  </si>
  <si>
    <t>Ezra's MEF</t>
  </si>
  <si>
    <t>D8as_v4</t>
  </si>
  <si>
    <t>AMD EPYC 7452 @2.35 GHz</t>
  </si>
  <si>
    <t>Average of 195ms on Multilingual and 220ms on English</t>
  </si>
  <si>
    <t xml:space="preserve">https://loop.cloud.microsoft/p/eyJ1IjoiaHR0cHM6Ly9taWNyb3NvZnQuc2hhcmVwb2ludC1kZi5jb20vY29udGVudHN0b3JhZ2UvQ1NQX2JmMDE5MjhlLTQxZWEtNDg4Mi1iMDUyLTUxYTZkOTczYTk3Mz9uYXY9Y3owbE1rWmpiMjUwWlc1MGMzUnZjbUZuWlNVeVJrTlRVRjlpWmpBeE9USTRaUzAwTVdWaExUUTRPREl0WWpBMU1pMDFNV0UyWkRrM00yRTVOek1tWkQxaUpUSXhhbkJKUW5ZdGNFSm5hMmwzVld4SGJUSllUM0JqTlhOa1h6TmpRamhYT1VkdFIwNVlPRjh5TjNOR1ExbHpjRUpyTVZkSFFWUmFaVEJ1Y2xoaWNrRTBkeVptUFRBeE5VWkNVVlpHUlZWTk5sRkpVbFJaVFZoYVNFbFBTVnBJU2xCYVJsVTFOMEVtWXowbE1rWW1ZVDFNYjI5d1FYQndKbmc5SlRkQ0pUSXlkeVV5TWlVelFTVXlNbFF3VWxSVlNIaDBZVmRPZVdJelRuWmFibEYxWXpKb2FHTnRWbmRpTW14MVpFTTFhbUl5TVRoWmFVWkZUVVJTVG1GRldtWlRlbFp5WlZSa2VsWnJjSFJoUlRWYVRsTXhUbU5IVVhoU2JVWjBXV3RHYTFJeldrSlZNMVY2Vm14ak5VOUdPVk5PTWxKV1lrUkNSRlZIVmpaVlZtc3hZakZXUlZkVVFsVk5WVkp3WmtSQmVGSXdiRVJSVlRsRlRXdHNVMVpzYUVaT1ZUbFhUa1JPUjFFd2VFTlNlbVJMVmxaQ1VGUldWa2xYVldNbE0wUWxNaklsTWtNbE1qSnBKVEl5SlROQkpUSXlOak5sTjJZNE5Ua3RZalV6TWkwMFpUTTBMVGxrWldRdE9ESmlZamxtT0dFNU16VTJKVEl5SlRkRSJ9?ct=1740428079721&amp;
</t>
  </si>
  <si>
    <t>Ezra's Local</t>
  </si>
  <si>
    <t>D16s_v4</t>
  </si>
  <si>
    <t>Xeon 8370C @2.8 GHz</t>
  </si>
  <si>
    <t>Damian's Initial</t>
  </si>
  <si>
    <t>Damian 2025-02-24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</si>
</sst>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_(* #,##0_);_(* \(#,##0\);_(* &quot;-&quot;??_);_(@_)"/>
    <numFmt numFmtId="166" formatCode="_(&quot;$&quot;* #,##0_);_(&quot;$&quot;* \(#,##0\);_(&quot;$&quot;* &quot;-&quot;??_);_(@_)"/>
    <numFmt numFmtId="167" formatCode="&quot;$&quot;#,##0.000_);[Red]\(&quot;$&quot;#,##0.000\)"/>
    <numFmt numFmtId="168" formatCode="_(* #,##0.0_);_(* \(#,##0.0\);_(* &quot;-&quot;??_);_(@_)"/>
    <numFmt numFmtId="169" formatCode="_(&quot;$&quot;* #,##0.000_);_(&quot;$&quot;* \(#,##0.000\);_(&quot;$&quot;* &quot;-&quot;??_);_(@_)"/>
    <numFmt numFmtId="170" formatCode="&quot;$&quot;#,##0.0000_);[Red]\(&quot;$&quot;#,##0.0000\)"/>
  </numFmts>
  <fonts count="11" x14ac:knownFonts="1">
    <font>
      <sz val="12"/>
      <color theme="1"/>
      <name val="Aptos Narrow"/>
      <family val="2"/>
      <scheme val="minor"/>
    </font>
    <font>
      <sz val="12"/>
      <color theme="1"/>
      <name val="Aptos Narrow"/>
      <family val="2"/>
      <scheme val="minor"/>
    </font>
    <font>
      <sz val="12"/>
      <color rgb="FF000000"/>
      <name val="Aptos Narrow"/>
      <family val="2"/>
      <scheme val="minor"/>
    </font>
    <font>
      <b/>
      <sz val="12"/>
      <color rgb="FFFFFFFF"/>
      <name val="Aptos Narrow"/>
      <family val="2"/>
      <scheme val="minor"/>
    </font>
    <font>
      <b/>
      <sz val="12"/>
      <color rgb="FF000000"/>
      <name val="Aptos Narrow"/>
      <family val="2"/>
      <scheme val="minor"/>
    </font>
    <font>
      <b/>
      <sz val="12"/>
      <color theme="1"/>
      <name val="Aptos Narrow"/>
      <family val="2"/>
      <scheme val="minor"/>
    </font>
    <font>
      <u/>
      <sz val="12"/>
      <color theme="10"/>
      <name val="Aptos Narrow"/>
      <family val="2"/>
      <scheme val="minor"/>
    </font>
    <font>
      <b/>
      <sz val="18"/>
      <color theme="1"/>
      <name val="Aptos Narrow"/>
      <family val="2"/>
      <scheme val="minor"/>
    </font>
    <font>
      <sz val="18"/>
      <color theme="1"/>
      <name val="Aptos Narrow"/>
      <family val="2"/>
      <scheme val="minor"/>
    </font>
    <font>
      <sz val="12"/>
      <color theme="1"/>
      <name val="Aptos"/>
      <family val="2"/>
    </font>
    <font>
      <sz val="12"/>
      <color theme="0" tint="-0.249977111117893"/>
      <name val="Aptos Narrow"/>
      <family val="2"/>
      <scheme val="minor"/>
    </font>
  </fonts>
  <fills count="7">
    <fill>
      <patternFill patternType="none"/>
    </fill>
    <fill>
      <patternFill patternType="gray125"/>
    </fill>
    <fill>
      <patternFill patternType="solid">
        <fgColor rgb="FFDAF2D0"/>
        <bgColor rgb="FFDAF2D0"/>
      </patternFill>
    </fill>
    <fill>
      <patternFill patternType="solid">
        <fgColor rgb="FFA02B93"/>
        <bgColor rgb="FFA02B93"/>
      </patternFill>
    </fill>
    <fill>
      <patternFill patternType="solid">
        <fgColor rgb="FFE97132"/>
        <bgColor rgb="FFE97132"/>
      </patternFill>
    </fill>
    <fill>
      <patternFill patternType="solid">
        <fgColor rgb="FF196B24"/>
        <bgColor rgb="FF196B24"/>
      </patternFill>
    </fill>
    <fill>
      <patternFill patternType="solid">
        <fgColor rgb="FFC1F0C8"/>
        <bgColor rgb="FFC1F0C8"/>
      </patternFill>
    </fill>
  </fills>
  <borders count="4">
    <border>
      <left/>
      <right/>
      <top/>
      <bottom/>
      <diagonal/>
    </border>
    <border>
      <left style="thin">
        <color rgb="FFA02B93"/>
      </left>
      <right/>
      <top/>
      <bottom style="thin">
        <color rgb="FF47D359"/>
      </bottom>
      <diagonal/>
    </border>
    <border>
      <left/>
      <right/>
      <top/>
      <bottom style="thin">
        <color rgb="FF47D359"/>
      </bottom>
      <diagonal/>
    </border>
    <border>
      <left style="thin">
        <color rgb="FFA02B93"/>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applyNumberFormat="0" applyFill="0" applyBorder="0" applyAlignment="0" applyProtection="0"/>
  </cellStyleXfs>
  <cellXfs count="50">
    <xf numFmtId="0" fontId="0" fillId="0" borderId="0" xfId="0"/>
    <xf numFmtId="0" fontId="2" fillId="2" borderId="0" xfId="0" applyFont="1" applyFill="1"/>
    <xf numFmtId="0" fontId="2" fillId="0" borderId="0" xfId="0" applyFont="1"/>
    <xf numFmtId="0" fontId="3" fillId="3" borderId="1" xfId="0" applyFont="1" applyFill="1" applyBorder="1"/>
    <xf numFmtId="0" fontId="3" fillId="3" borderId="2" xfId="0" applyFont="1" applyFill="1" applyBorder="1"/>
    <xf numFmtId="0" fontId="4" fillId="4" borderId="2" xfId="0" applyFont="1" applyFill="1" applyBorder="1"/>
    <xf numFmtId="0" fontId="3" fillId="5" borderId="0" xfId="0" applyFont="1" applyFill="1"/>
    <xf numFmtId="0" fontId="2" fillId="6" borderId="1" xfId="0" applyFont="1" applyFill="1" applyBorder="1"/>
    <xf numFmtId="0" fontId="2" fillId="6" borderId="0" xfId="0" applyFont="1" applyFill="1"/>
    <xf numFmtId="0" fontId="2" fillId="0" borderId="1" xfId="0" applyFont="1" applyBorder="1"/>
    <xf numFmtId="0" fontId="4" fillId="6" borderId="1" xfId="0" applyFont="1" applyFill="1" applyBorder="1"/>
    <xf numFmtId="0" fontId="4" fillId="6" borderId="0" xfId="0" applyFont="1" applyFill="1"/>
    <xf numFmtId="0" fontId="2" fillId="0" borderId="3" xfId="0" applyFont="1" applyBorder="1"/>
    <xf numFmtId="0" fontId="4" fillId="0" borderId="0" xfId="0" applyFont="1"/>
    <xf numFmtId="164" fontId="0" fillId="0" borderId="0" xfId="0" applyNumberFormat="1"/>
    <xf numFmtId="165" fontId="2" fillId="2" borderId="0" xfId="1" applyNumberFormat="1" applyFont="1" applyFill="1"/>
    <xf numFmtId="165" fontId="0" fillId="0" borderId="0" xfId="1" applyNumberFormat="1" applyFont="1"/>
    <xf numFmtId="165" fontId="2" fillId="0" borderId="0" xfId="1" applyNumberFormat="1" applyFont="1"/>
    <xf numFmtId="6" fontId="0" fillId="0" borderId="0" xfId="0" applyNumberFormat="1"/>
    <xf numFmtId="8" fontId="0" fillId="0" borderId="0" xfId="0" applyNumberFormat="1"/>
    <xf numFmtId="0" fontId="0" fillId="0" borderId="0" xfId="0" quotePrefix="1" applyAlignment="1">
      <alignment horizontal="right"/>
    </xf>
    <xf numFmtId="166" fontId="0" fillId="0" borderId="0" xfId="2" applyNumberFormat="1" applyFont="1"/>
    <xf numFmtId="166" fontId="0" fillId="0" borderId="0" xfId="0" applyNumberFormat="1"/>
    <xf numFmtId="167" fontId="0" fillId="0" borderId="0" xfId="0" applyNumberFormat="1"/>
    <xf numFmtId="0" fontId="0" fillId="0" borderId="0" xfId="2" applyNumberFormat="1" applyFont="1"/>
    <xf numFmtId="1" fontId="2" fillId="6" borderId="0" xfId="0" applyNumberFormat="1" applyFont="1" applyFill="1"/>
    <xf numFmtId="1" fontId="2" fillId="0" borderId="0" xfId="0" applyNumberFormat="1" applyFont="1"/>
    <xf numFmtId="1" fontId="4" fillId="6" borderId="0" xfId="0" applyNumberFormat="1" applyFont="1" applyFill="1"/>
    <xf numFmtId="165" fontId="0" fillId="0" borderId="0" xfId="0" applyNumberFormat="1"/>
    <xf numFmtId="43" fontId="0" fillId="0" borderId="0" xfId="0" applyNumberFormat="1"/>
    <xf numFmtId="3" fontId="0" fillId="0" borderId="0" xfId="0" applyNumberFormat="1"/>
    <xf numFmtId="2" fontId="0" fillId="0" borderId="0" xfId="0" applyNumberFormat="1"/>
    <xf numFmtId="168" fontId="0" fillId="0" borderId="0" xfId="1" applyNumberFormat="1" applyFont="1"/>
    <xf numFmtId="0" fontId="5" fillId="0" borderId="0" xfId="0" applyFont="1"/>
    <xf numFmtId="165" fontId="5" fillId="0" borderId="0" xfId="1" applyNumberFormat="1" applyFont="1"/>
    <xf numFmtId="169" fontId="0" fillId="0" borderId="0" xfId="2" applyNumberFormat="1" applyFont="1"/>
    <xf numFmtId="166" fontId="5" fillId="0" borderId="0" xfId="0" applyNumberFormat="1" applyFont="1"/>
    <xf numFmtId="170" fontId="0" fillId="0" borderId="0" xfId="0" applyNumberFormat="1"/>
    <xf numFmtId="0" fontId="7" fillId="0" borderId="0" xfId="0" applyFont="1"/>
    <xf numFmtId="0" fontId="8" fillId="0" borderId="0" xfId="0" applyFont="1"/>
    <xf numFmtId="9" fontId="5" fillId="0" borderId="0" xfId="0" applyNumberFormat="1" applyFont="1"/>
    <xf numFmtId="166" fontId="5" fillId="0" borderId="0" xfId="2" applyNumberFormat="1" applyFont="1"/>
    <xf numFmtId="0" fontId="6" fillId="0" borderId="0" xfId="3" applyAlignment="1">
      <alignment wrapText="1"/>
    </xf>
    <xf numFmtId="0" fontId="9" fillId="0" borderId="0" xfId="0" applyFont="1"/>
    <xf numFmtId="169" fontId="0" fillId="0" borderId="0" xfId="0" applyNumberFormat="1"/>
    <xf numFmtId="10" fontId="0" fillId="0" borderId="0" xfId="0" applyNumberFormat="1"/>
    <xf numFmtId="168" fontId="0" fillId="0" borderId="0" xfId="0" applyNumberFormat="1"/>
    <xf numFmtId="168" fontId="10" fillId="0" borderId="0" xfId="0" applyNumberFormat="1" applyFont="1"/>
    <xf numFmtId="165" fontId="10" fillId="0" borderId="0" xfId="1" applyNumberFormat="1" applyFont="1"/>
    <xf numFmtId="0" fontId="0" fillId="0" borderId="0" xfId="0" applyAlignment="1">
      <alignment wrapText="1"/>
    </xf>
  </cellXfs>
  <cellStyles count="4">
    <cellStyle name="Comma" xfId="1" builtinId="3"/>
    <cellStyle name="Currency" xfId="2" builtinId="4"/>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Aaron Dunlop" id="{1A21675B-D6C7-3F4A-8E12-8AF2C5E4E126}" userId="S::aarondunlop@microsoft.com::d19cbbd4-613a-42da-8932-739703aaeea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4" dT="2025-02-20T19:44:33.28" personId="{1A21675B-D6C7-3F4A-8E12-8AF2C5E4E126}" id="{C308588C-155C-8244-8466-781F8102FDE5}">
    <text>Really only 2 instances even in North American regions?</text>
  </threadedComment>
  <threadedComment ref="I4" dT="2025-02-21T23:14:41.98" personId="{1A21675B-D6C7-3F4A-8E12-8AF2C5E4E126}" id="{75FCB50F-7EE1-8042-9B33-74A7EAED8C6C}">
    <text>Monthly pricing appears to be hourly * 365 * 24 / 12 (without accounting for leap years)</text>
  </threadedComment>
  <threadedComment ref="K4" dT="2025-02-21T23:16:51.78" personId="{1A21675B-D6C7-3F4A-8E12-8AF2C5E4E126}" id="{2F91CF3F-418C-5746-91FD-92E049F762C8}">
    <text>Used to compute current P90 and cost of the ~3-5 regions we expect to route to.</text>
  </threadedComment>
  <threadedComment ref="C36" dT="2025-02-24T23:00:08.03" personId="{1A21675B-D6C7-3F4A-8E12-8AF2C5E4E126}" id="{7E6C2285-683E-534A-AA52-C749208EE352}">
    <text>@512 tokens/chunk</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02-20T20:25:39.70" personId="{1A21675B-D6C7-3F4A-8E12-8AF2C5E4E126}" id="{78DBA854-2E65-4D47-A272-3B50E6BB1FB0}">
    <text xml:space="preserve">Copied on 2025-02-19 from https://microsoft.sharepoint.com/:x:/t/Business360AITeam/EUhCJ5QZAp1PqujLXxCvLuIBCveYuFZowGbmL7uoKIh_Dw?e=vgPbVy&amp;wdOrigin=LOOP-WEB.PREVIEW.NT&amp;wduihid=4c5491cd-fddd-49a8-87c8-b9006a642f8a&amp;web=1&amp;ct=1739898637997
</text>
    <extLst>
      <x:ext xmlns:xltc2="http://schemas.microsoft.com/office/spreadsheetml/2020/threadedcomments2" uri="{F7C98A9C-CBB3-438F-8F68-D28B6AF4A901}">
        <xltc2:checksum>1724612185</xltc2:checksum>
        <xltc2:hyperlink startIndex="26" length="209" url="https://microsoft.sharepoint.com/:x:/t/Business360AITeam/EUhCJ5QZAp1PqujLXxCvLuIBCveYuFZowGbmL7uoKIh_Dw?e=vgPbVy&amp;wdOrigin=LOOP-WEB.PREVIEW.NT&amp;wduihid=4c5491cd-fddd-49a8-87c8-b9006a642f8a&amp;web=1&amp;ct=1739898637997"/>
      </x:ext>
    </extLst>
  </threadedComment>
  <threadedComment ref="D8" dT="2025-02-20T19:44:33.28" personId="{1A21675B-D6C7-3F4A-8E12-8AF2C5E4E126}" id="{FB4A73B9-B494-7748-B4CE-0C4A44BAE8F0}">
    <text>Really only 2 instances even in North American regions?</text>
  </threadedComment>
  <threadedComment ref="G8" dT="2025-02-20T21:40:33.31" personId="{1A21675B-D6C7-3F4A-8E12-8AF2C5E4E126}" id="{6A45841D-592E-634E-8AFA-1B8072236164}">
    <text>Monthly pricing appears to be hourly * 365 * 24 / 12 (without accounting for leap years)</text>
  </threadedComment>
  <threadedComment ref="M8" dT="2025-02-20T21:40:33.31" personId="{1A21675B-D6C7-3F4A-8E12-8AF2C5E4E126}" id="{122B22EC-C028-F845-BF49-279B913C59A2}">
    <text>Monthly pricing appears to be hourly * 365 * 24 / 12 (without accounting for leap years)</text>
  </threadedComment>
  <threadedComment ref="N8" dT="2025-02-21T01:13:09.78" personId="{1A21675B-D6C7-3F4A-8E12-8AF2C5E4E126}" id="{7A2D7DB8-4AF2-A74A-B778-104AB9F095B1}">
    <text>'X' denotes that CPU endpoints are deployed in this region (for regions we cannot route to GPUs elsewhere). Assumes the same D8as v4 instances we currently use for MEF, but only Multilingual (no English-only endpoints).</text>
  </threadedComment>
</ThreadedComments>
</file>

<file path=xl/threadedComments/threadedComment3.xml><?xml version="1.0" encoding="utf-8"?>
<ThreadedComments xmlns="http://schemas.microsoft.com/office/spreadsheetml/2018/threadedcomments" xmlns:x="http://schemas.openxmlformats.org/spreadsheetml/2006/main">
  <threadedComment ref="M7" dT="2025-02-21T18:23:54.00" personId="{1A21675B-D6C7-3F4A-8E12-8AF2C5E4E126}" id="{0175A26C-13E0-FD4D-A9D0-A7905784B2FC}">
    <text>Evenly distributing requests over full month</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hyperlink" Target="https://loop.cloud.microsoft/p/eyJ1IjoiaHR0cHM6Ly9taWNyb3NvZnQuc2hhcmVwb2ludC1kZi5jb20vY29udGVudHN0b3JhZ2UvQ1NQX2JmMDE5MjhlLTQxZWEtNDg4Mi1iMDUyLTUxYTZkOTczYTk3Mz9uYXY9Y3owbE1rWmpiMjUwWlc1MGMzUnZjbUZuWlNVeVJrTlRVRjlpWmpBeE9USTRaUzAwTVdWaExUUTRPREl0WWpBMU1pMDFNV0UyWkRrM00yRTVOek1tWkQxaUpUSXhhbkJKUW5ZdGNFSm5hMmwzVld4SGJUSllUM0JqTlhOa1h6TmpRamhYT1VkdFIwNVlPRjh5TjNOR1ExbHpjRUpyTVZkSFFWUmFaVEJ1Y2xoaWNrRTBkeVptUFRBeE5VWkNVVlpHUlZWTk5sRkpVbFJaVFZoYVNFbFBTVnBJU2xCYVJsVTFOMEVtWXowbE1rWW1ZVDFNYjI5d1FYQndKbmc5SlRkQ0pUSXlkeVV5TWlVelFTVXlNbFF3VWxSVlNIaDBZVmRPZVdJelRuWmFibEYxWXpKb2FHTnRWbmRpTW14MVpFTTFhbUl5TVRoWmFVWkZUVVJTVG1GRldtWlRlbFp5WlZSa2VsWnJjSFJoUlRWYVRsTXhUbU5IVVhoU2JVWjBXV3RHYTFJeldrSlZNMVY2Vm14ak5VOUdPVk5PTWxKV1lrUkNSRlZIVmpaVlZtc3hZakZXUlZkVVFsVk5WVkp3WmtSQmVGSXdiRVJSVlRsRlRXdHNVMVpzYUVaT1ZUbFhUa1JPUjFFd2VFTlNlbVJMVmxaQ1VGUldWa2xYVldNbE0wUWxNaklsTWtNbE1qSnBKVEl5SlROQkpUSXlOak5sTjJZNE5Ua3RZalV6TWkwMFpUTTBMVGxrWldRdE9ESmlZamxtT0dFNU16VTJKVEl5SlRkRSJ9?ct=1740428079721&am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823B-8F6D-A145-9908-881DF8D5B38E}">
  <dimension ref="A2:X80"/>
  <sheetViews>
    <sheetView tabSelected="1" zoomScale="182" zoomScaleNormal="182" workbookViewId="0">
      <selection activeCell="F3" sqref="F3"/>
    </sheetView>
  </sheetViews>
  <sheetFormatPr defaultColWidth="11" defaultRowHeight="15.75" x14ac:dyDescent="0.25"/>
  <cols>
    <col min="2" max="2" width="19.625" customWidth="1"/>
    <col min="3" max="3" width="11.125" bestFit="1" customWidth="1"/>
    <col min="4" max="4" width="6.375" customWidth="1"/>
    <col min="5" max="5" width="12" customWidth="1"/>
    <col min="6" max="6" width="7.875" customWidth="1"/>
    <col min="7" max="7" width="7.5" customWidth="1"/>
    <col min="8" max="8" width="11.125" customWidth="1"/>
    <col min="9" max="9" width="12.875" customWidth="1"/>
    <col min="10" max="10" width="6.875" customWidth="1"/>
    <col min="12" max="12" width="7.375" customWidth="1"/>
    <col min="13" max="13" width="8.125" customWidth="1"/>
    <col min="14" max="14" width="11.625" customWidth="1"/>
    <col min="15" max="15" width="12.625" customWidth="1"/>
    <col min="16" max="16" width="12.125" customWidth="1"/>
    <col min="17" max="17" width="20.375" customWidth="1"/>
    <col min="20" max="20" width="10.125" customWidth="1"/>
    <col min="21" max="21" width="13.5" bestFit="1" customWidth="1"/>
    <col min="22" max="22" width="12.375" bestFit="1" customWidth="1"/>
  </cols>
  <sheetData>
    <row r="2" spans="1:19" ht="24" x14ac:dyDescent="0.4">
      <c r="A2" s="38" t="s">
        <v>0</v>
      </c>
      <c r="B2" s="39"/>
      <c r="I2" t="s">
        <v>1</v>
      </c>
      <c r="J2">
        <v>2.4</v>
      </c>
      <c r="M2" s="38" t="s">
        <v>2</v>
      </c>
    </row>
    <row r="3" spans="1:19" ht="31.5" x14ac:dyDescent="0.25">
      <c r="F3" s="49" t="s">
        <v>3</v>
      </c>
    </row>
    <row r="4" spans="1:19" x14ac:dyDescent="0.25">
      <c r="B4" s="33" t="s">
        <v>4</v>
      </c>
      <c r="C4" s="33" t="s">
        <v>5</v>
      </c>
      <c r="D4" s="33"/>
      <c r="E4" s="33" t="s">
        <v>6</v>
      </c>
      <c r="F4" s="33" t="s">
        <v>7</v>
      </c>
      <c r="G4" s="33" t="s">
        <v>8</v>
      </c>
      <c r="H4" s="33" t="s">
        <v>9</v>
      </c>
      <c r="I4" s="33" t="s">
        <v>10</v>
      </c>
      <c r="J4" s="33"/>
      <c r="K4" s="33" t="s">
        <v>11</v>
      </c>
      <c r="L4" s="33" t="s">
        <v>12</v>
      </c>
      <c r="N4" s="33" t="s">
        <v>12</v>
      </c>
      <c r="O4" s="33" t="s">
        <v>13</v>
      </c>
      <c r="P4" s="33" t="s">
        <v>5</v>
      </c>
      <c r="Q4" s="33" t="s">
        <v>14</v>
      </c>
      <c r="R4" s="33" t="s">
        <v>11</v>
      </c>
      <c r="S4" s="33"/>
    </row>
    <row r="5" spans="1:19" x14ac:dyDescent="0.25">
      <c r="B5" t="s">
        <v>15</v>
      </c>
      <c r="C5" s="30">
        <v>35096021</v>
      </c>
      <c r="E5" s="35">
        <v>0.38400000000000001</v>
      </c>
      <c r="F5">
        <v>4</v>
      </c>
      <c r="G5">
        <v>10</v>
      </c>
      <c r="H5">
        <f>(F5+G5)*$J$2</f>
        <v>33.6</v>
      </c>
      <c r="I5" s="21">
        <f>(F5+G5)*E5*365*24/12</f>
        <v>3924.48</v>
      </c>
      <c r="K5" t="s">
        <v>16</v>
      </c>
      <c r="L5" t="s">
        <v>16</v>
      </c>
      <c r="N5" t="s">
        <v>16</v>
      </c>
      <c r="O5">
        <v>100744.8</v>
      </c>
      <c r="P5" s="16">
        <f>SUMIFS(C$5:C$32,L$5:L$32,N5)</f>
        <v>59143761</v>
      </c>
      <c r="Q5" t="s">
        <v>17</v>
      </c>
      <c r="R5" t="s">
        <v>16</v>
      </c>
    </row>
    <row r="6" spans="1:19" x14ac:dyDescent="0.25">
      <c r="B6" s="33" t="s">
        <v>18</v>
      </c>
      <c r="C6" s="30">
        <v>24047740</v>
      </c>
      <c r="E6" s="35">
        <v>0.44800000000000001</v>
      </c>
      <c r="F6">
        <v>4</v>
      </c>
      <c r="G6">
        <v>5</v>
      </c>
      <c r="H6">
        <f t="shared" ref="H6:H32" si="0">(F6+G6)*$J$2</f>
        <v>21.599999999999998</v>
      </c>
      <c r="I6" s="21">
        <f t="shared" ref="I6:I32" si="1">(F6+G6)*E6*365*24/12</f>
        <v>2943.36</v>
      </c>
      <c r="K6" t="s">
        <v>16</v>
      </c>
      <c r="L6" t="s">
        <v>16</v>
      </c>
      <c r="N6" t="s">
        <v>19</v>
      </c>
      <c r="O6">
        <v>85600.4</v>
      </c>
      <c r="P6" s="16">
        <f t="shared" ref="P6:P20" si="2">SUMIFS(C$5:C$32,L$5:L$32,N6)</f>
        <v>1845275</v>
      </c>
      <c r="Q6" t="s">
        <v>20</v>
      </c>
      <c r="R6" t="s">
        <v>21</v>
      </c>
    </row>
    <row r="7" spans="1:19" x14ac:dyDescent="0.25">
      <c r="B7" t="s">
        <v>22</v>
      </c>
      <c r="C7" s="30">
        <v>10606135</v>
      </c>
      <c r="E7" s="35">
        <v>0.42799999999999999</v>
      </c>
      <c r="F7">
        <f t="shared" ref="F7:F32" si="3">IF($C7&gt;0,2,"")</f>
        <v>2</v>
      </c>
      <c r="G7">
        <f>IF($C8&gt;0,2,"")</f>
        <v>2</v>
      </c>
      <c r="H7">
        <f t="shared" si="0"/>
        <v>9.6</v>
      </c>
      <c r="I7" s="21">
        <f t="shared" si="1"/>
        <v>1249.76</v>
      </c>
      <c r="K7" t="s">
        <v>21</v>
      </c>
      <c r="L7" t="s">
        <v>21</v>
      </c>
      <c r="N7" t="s">
        <v>23</v>
      </c>
      <c r="O7">
        <v>32722.799999999999</v>
      </c>
      <c r="P7" s="16">
        <f t="shared" si="2"/>
        <v>3099955</v>
      </c>
      <c r="Q7" t="s">
        <v>24</v>
      </c>
      <c r="R7" t="s">
        <v>21</v>
      </c>
    </row>
    <row r="8" spans="1:19" x14ac:dyDescent="0.25">
      <c r="B8" t="s">
        <v>25</v>
      </c>
      <c r="C8" s="30">
        <v>9238966</v>
      </c>
      <c r="E8" s="35">
        <v>0.46</v>
      </c>
      <c r="F8">
        <f t="shared" si="3"/>
        <v>2</v>
      </c>
      <c r="G8">
        <f>IF($C9&gt;0,2,"")</f>
        <v>2</v>
      </c>
      <c r="H8">
        <f t="shared" si="0"/>
        <v>9.6</v>
      </c>
      <c r="I8" s="21">
        <f t="shared" si="1"/>
        <v>1343.2</v>
      </c>
      <c r="K8" t="s">
        <v>21</v>
      </c>
      <c r="L8" t="s">
        <v>21</v>
      </c>
      <c r="N8" t="s">
        <v>26</v>
      </c>
      <c r="O8">
        <v>30286.400000000001</v>
      </c>
      <c r="P8" s="16">
        <f t="shared" si="2"/>
        <v>1187177</v>
      </c>
      <c r="Q8" t="s">
        <v>27</v>
      </c>
      <c r="R8" t="s">
        <v>16</v>
      </c>
    </row>
    <row r="9" spans="1:19" x14ac:dyDescent="0.25">
      <c r="B9" t="s">
        <v>28</v>
      </c>
      <c r="C9" s="30">
        <v>4820485</v>
      </c>
      <c r="E9" s="35">
        <v>0.48</v>
      </c>
      <c r="F9">
        <f t="shared" si="3"/>
        <v>2</v>
      </c>
      <c r="G9">
        <f>IF($C10&gt;0,2,"")</f>
        <v>2</v>
      </c>
      <c r="H9">
        <f t="shared" si="0"/>
        <v>9.6</v>
      </c>
      <c r="I9" s="21">
        <f t="shared" si="1"/>
        <v>1401.5999999999997</v>
      </c>
      <c r="K9" t="s">
        <v>21</v>
      </c>
      <c r="L9" t="s">
        <v>29</v>
      </c>
      <c r="N9" t="s">
        <v>29</v>
      </c>
      <c r="O9">
        <v>26769.200000000001</v>
      </c>
      <c r="P9" s="16">
        <f t="shared" si="2"/>
        <v>6569938</v>
      </c>
      <c r="Q9" t="s">
        <v>30</v>
      </c>
      <c r="R9" t="s">
        <v>21</v>
      </c>
    </row>
    <row r="10" spans="1:19" x14ac:dyDescent="0.25">
      <c r="B10" t="s">
        <v>31</v>
      </c>
      <c r="C10" s="30">
        <v>3996391</v>
      </c>
      <c r="E10" s="35">
        <v>0.44400000000000001</v>
      </c>
      <c r="F10">
        <f t="shared" si="3"/>
        <v>2</v>
      </c>
      <c r="G10">
        <v>5</v>
      </c>
      <c r="H10">
        <f t="shared" si="0"/>
        <v>16.8</v>
      </c>
      <c r="I10" s="21">
        <f t="shared" si="1"/>
        <v>2268.84</v>
      </c>
      <c r="K10" t="s">
        <v>21</v>
      </c>
      <c r="L10" t="s">
        <v>32</v>
      </c>
      <c r="N10" t="s">
        <v>21</v>
      </c>
      <c r="O10">
        <v>26081.599999999999</v>
      </c>
      <c r="P10" s="16">
        <f t="shared" si="2"/>
        <v>20280275</v>
      </c>
      <c r="Q10" t="s">
        <v>33</v>
      </c>
      <c r="R10" t="s">
        <v>21</v>
      </c>
    </row>
    <row r="11" spans="1:19" x14ac:dyDescent="0.25">
      <c r="B11" t="s">
        <v>34</v>
      </c>
      <c r="C11" s="30">
        <v>1749453</v>
      </c>
      <c r="E11" s="35">
        <v>0.52800000000000002</v>
      </c>
      <c r="F11">
        <f t="shared" si="3"/>
        <v>2</v>
      </c>
      <c r="G11">
        <f t="shared" ref="G11:G18" si="4">IF($C12&gt;0,2,"")</f>
        <v>2</v>
      </c>
      <c r="H11">
        <f t="shared" si="0"/>
        <v>9.6</v>
      </c>
      <c r="I11" s="21">
        <f t="shared" si="1"/>
        <v>1541.76</v>
      </c>
      <c r="K11" t="s">
        <v>21</v>
      </c>
      <c r="L11" t="s">
        <v>29</v>
      </c>
      <c r="N11" t="s">
        <v>35</v>
      </c>
      <c r="O11">
        <v>12603.2</v>
      </c>
      <c r="P11" s="16">
        <f t="shared" si="2"/>
        <v>30850</v>
      </c>
      <c r="Q11" t="s">
        <v>36</v>
      </c>
      <c r="R11" t="s">
        <v>21</v>
      </c>
    </row>
    <row r="12" spans="1:19" x14ac:dyDescent="0.25">
      <c r="B12" t="s">
        <v>37</v>
      </c>
      <c r="C12" s="30">
        <v>1622214</v>
      </c>
      <c r="E12" s="35">
        <v>0.496</v>
      </c>
      <c r="F12">
        <f t="shared" si="3"/>
        <v>2</v>
      </c>
      <c r="G12">
        <f t="shared" si="4"/>
        <v>2</v>
      </c>
      <c r="H12">
        <f t="shared" si="0"/>
        <v>9.6</v>
      </c>
      <c r="I12" s="21">
        <f t="shared" si="1"/>
        <v>1448.32</v>
      </c>
      <c r="K12" t="s">
        <v>21</v>
      </c>
      <c r="L12" t="s">
        <v>23</v>
      </c>
      <c r="N12" t="s">
        <v>38</v>
      </c>
      <c r="O12">
        <v>5946.8</v>
      </c>
      <c r="P12" s="16">
        <f t="shared" si="2"/>
        <v>518656</v>
      </c>
      <c r="Q12" t="s">
        <v>39</v>
      </c>
      <c r="R12" t="s">
        <v>21</v>
      </c>
    </row>
    <row r="13" spans="1:19" x14ac:dyDescent="0.25">
      <c r="B13" t="s">
        <v>40</v>
      </c>
      <c r="C13" s="30">
        <v>1477741</v>
      </c>
      <c r="E13" s="35">
        <v>0.496</v>
      </c>
      <c r="F13">
        <f t="shared" si="3"/>
        <v>2</v>
      </c>
      <c r="G13">
        <f t="shared" si="4"/>
        <v>2</v>
      </c>
      <c r="H13">
        <f t="shared" si="0"/>
        <v>9.6</v>
      </c>
      <c r="I13" s="21">
        <f t="shared" si="1"/>
        <v>1448.32</v>
      </c>
      <c r="K13" t="s">
        <v>21</v>
      </c>
      <c r="L13" t="s">
        <v>23</v>
      </c>
      <c r="N13" t="s">
        <v>32</v>
      </c>
      <c r="O13">
        <v>4524.8</v>
      </c>
      <c r="P13" s="16">
        <f t="shared" si="2"/>
        <v>5307325</v>
      </c>
      <c r="Q13" t="s">
        <v>41</v>
      </c>
      <c r="R13" t="s">
        <v>21</v>
      </c>
    </row>
    <row r="14" spans="1:19" x14ac:dyDescent="0.25">
      <c r="B14" t="s">
        <v>42</v>
      </c>
      <c r="C14" s="30">
        <v>1310934</v>
      </c>
      <c r="E14" s="35">
        <v>0.46500000000000002</v>
      </c>
      <c r="F14">
        <f t="shared" si="3"/>
        <v>2</v>
      </c>
      <c r="G14">
        <f t="shared" si="4"/>
        <v>2</v>
      </c>
      <c r="H14">
        <f t="shared" si="0"/>
        <v>9.6</v>
      </c>
      <c r="I14" s="21">
        <f t="shared" si="1"/>
        <v>1357.8000000000002</v>
      </c>
      <c r="K14" t="s">
        <v>21</v>
      </c>
      <c r="L14" t="s">
        <v>32</v>
      </c>
      <c r="N14" t="s">
        <v>43</v>
      </c>
      <c r="O14">
        <v>4419.2</v>
      </c>
      <c r="P14" s="16">
        <f t="shared" si="2"/>
        <v>19837</v>
      </c>
      <c r="Q14" t="s">
        <v>44</v>
      </c>
      <c r="R14" t="s">
        <v>21</v>
      </c>
    </row>
    <row r="15" spans="1:19" x14ac:dyDescent="0.25">
      <c r="B15" t="s">
        <v>45</v>
      </c>
      <c r="C15" s="30">
        <v>1187177</v>
      </c>
      <c r="E15" s="35">
        <v>0.61199999999999999</v>
      </c>
      <c r="F15">
        <f t="shared" si="3"/>
        <v>2</v>
      </c>
      <c r="G15">
        <f t="shared" si="4"/>
        <v>2</v>
      </c>
      <c r="H15">
        <f t="shared" si="0"/>
        <v>9.6</v>
      </c>
      <c r="I15" s="21">
        <f t="shared" si="1"/>
        <v>1787.04</v>
      </c>
      <c r="K15" t="s">
        <v>16</v>
      </c>
      <c r="L15" t="s">
        <v>26</v>
      </c>
      <c r="N15" t="s">
        <v>46</v>
      </c>
      <c r="O15">
        <v>3394.4</v>
      </c>
      <c r="P15" s="16">
        <f t="shared" si="2"/>
        <v>1490240</v>
      </c>
      <c r="Q15" t="s">
        <v>47</v>
      </c>
      <c r="R15" t="s">
        <v>16</v>
      </c>
    </row>
    <row r="16" spans="1:19" x14ac:dyDescent="0.25">
      <c r="B16" t="s">
        <v>48</v>
      </c>
      <c r="C16" s="30">
        <v>1104110</v>
      </c>
      <c r="E16" s="35">
        <v>0.246</v>
      </c>
      <c r="F16">
        <f t="shared" si="3"/>
        <v>2</v>
      </c>
      <c r="G16">
        <f t="shared" si="4"/>
        <v>2</v>
      </c>
      <c r="H16">
        <f t="shared" si="0"/>
        <v>9.6</v>
      </c>
      <c r="I16" s="21">
        <f t="shared" si="1"/>
        <v>718.32</v>
      </c>
      <c r="K16" t="s">
        <v>21</v>
      </c>
      <c r="L16" t="s">
        <v>19</v>
      </c>
      <c r="N16" t="s">
        <v>49</v>
      </c>
      <c r="O16">
        <v>2959.2</v>
      </c>
      <c r="P16" s="16">
        <f t="shared" si="2"/>
        <v>5212</v>
      </c>
      <c r="Q16" t="s">
        <v>50</v>
      </c>
      <c r="R16" t="s">
        <v>21</v>
      </c>
    </row>
    <row r="17" spans="2:23" x14ac:dyDescent="0.25">
      <c r="B17" t="s">
        <v>51</v>
      </c>
      <c r="C17" s="30">
        <v>946247</v>
      </c>
      <c r="E17" s="35">
        <v>0.42799999999999999</v>
      </c>
      <c r="F17">
        <f t="shared" si="3"/>
        <v>2</v>
      </c>
      <c r="G17">
        <f t="shared" si="4"/>
        <v>2</v>
      </c>
      <c r="H17">
        <f t="shared" si="0"/>
        <v>9.6</v>
      </c>
      <c r="I17" s="21">
        <f t="shared" si="1"/>
        <v>1249.76</v>
      </c>
      <c r="K17" t="s">
        <v>16</v>
      </c>
      <c r="L17" t="s">
        <v>46</v>
      </c>
      <c r="N17" t="s">
        <v>52</v>
      </c>
      <c r="O17">
        <v>2067.1999999999998</v>
      </c>
      <c r="P17" s="16">
        <f t="shared" si="2"/>
        <v>320268</v>
      </c>
      <c r="Q17" t="s">
        <v>53</v>
      </c>
      <c r="R17" t="s">
        <v>21</v>
      </c>
    </row>
    <row r="18" spans="2:23" x14ac:dyDescent="0.25">
      <c r="B18" t="s">
        <v>54</v>
      </c>
      <c r="C18" s="30">
        <v>741165</v>
      </c>
      <c r="E18" s="35">
        <v>0.54100000000000004</v>
      </c>
      <c r="F18">
        <f t="shared" si="3"/>
        <v>2</v>
      </c>
      <c r="G18">
        <f t="shared" si="4"/>
        <v>2</v>
      </c>
      <c r="H18">
        <f t="shared" si="0"/>
        <v>9.6</v>
      </c>
      <c r="I18" s="21">
        <f t="shared" si="1"/>
        <v>1579.72</v>
      </c>
      <c r="K18" t="s">
        <v>21</v>
      </c>
      <c r="L18" t="s">
        <v>19</v>
      </c>
      <c r="N18" t="s">
        <v>55</v>
      </c>
      <c r="O18">
        <v>1267.2</v>
      </c>
      <c r="P18" s="16">
        <f t="shared" si="2"/>
        <v>629032</v>
      </c>
      <c r="Q18" t="s">
        <v>56</v>
      </c>
      <c r="R18" t="s">
        <v>21</v>
      </c>
    </row>
    <row r="19" spans="2:23" x14ac:dyDescent="0.25">
      <c r="B19" t="s">
        <v>57</v>
      </c>
      <c r="C19" s="30">
        <v>629032</v>
      </c>
      <c r="E19" s="35">
        <v>0.48</v>
      </c>
      <c r="F19">
        <f t="shared" si="3"/>
        <v>2</v>
      </c>
      <c r="G19">
        <v>3</v>
      </c>
      <c r="H19">
        <f t="shared" si="0"/>
        <v>12</v>
      </c>
      <c r="I19" s="21">
        <f t="shared" si="1"/>
        <v>1752</v>
      </c>
      <c r="K19" t="s">
        <v>21</v>
      </c>
      <c r="L19" t="s">
        <v>55</v>
      </c>
      <c r="N19" t="s">
        <v>58</v>
      </c>
      <c r="O19">
        <v>971.6</v>
      </c>
      <c r="P19" s="16">
        <f t="shared" si="2"/>
        <v>524211</v>
      </c>
      <c r="Q19" t="s">
        <v>59</v>
      </c>
      <c r="R19" t="s">
        <v>21</v>
      </c>
    </row>
    <row r="20" spans="2:23" x14ac:dyDescent="0.25">
      <c r="B20" t="s">
        <v>60</v>
      </c>
      <c r="C20" s="30">
        <v>543993</v>
      </c>
      <c r="E20" s="35">
        <v>0.42799999999999999</v>
      </c>
      <c r="F20">
        <f t="shared" si="3"/>
        <v>2</v>
      </c>
      <c r="G20">
        <f>IF($C21&gt;0,2,"")</f>
        <v>2</v>
      </c>
      <c r="H20">
        <f t="shared" si="0"/>
        <v>9.6</v>
      </c>
      <c r="I20" s="21">
        <f t="shared" si="1"/>
        <v>1249.76</v>
      </c>
      <c r="K20" t="s">
        <v>16</v>
      </c>
      <c r="L20" t="s">
        <v>46</v>
      </c>
      <c r="N20" t="s">
        <v>61</v>
      </c>
      <c r="O20">
        <v>150.4</v>
      </c>
      <c r="P20" s="16">
        <f t="shared" si="2"/>
        <v>224748</v>
      </c>
      <c r="Q20" t="s">
        <v>62</v>
      </c>
      <c r="R20" t="s">
        <v>63</v>
      </c>
    </row>
    <row r="21" spans="2:23" x14ac:dyDescent="0.25">
      <c r="B21" t="s">
        <v>64</v>
      </c>
      <c r="C21" s="30">
        <v>518656</v>
      </c>
      <c r="E21" s="35">
        <v>0.499</v>
      </c>
      <c r="F21">
        <f t="shared" si="3"/>
        <v>2</v>
      </c>
      <c r="G21">
        <f>IF($C22&gt;0,2,"")</f>
        <v>2</v>
      </c>
      <c r="H21">
        <f t="shared" si="0"/>
        <v>9.6</v>
      </c>
      <c r="I21" s="21">
        <f t="shared" si="1"/>
        <v>1457.08</v>
      </c>
      <c r="K21" t="s">
        <v>21</v>
      </c>
      <c r="L21" t="s">
        <v>38</v>
      </c>
      <c r="O21" s="47">
        <f>SUM(O5:O20)</f>
        <v>340509.2</v>
      </c>
      <c r="P21" s="46"/>
    </row>
    <row r="22" spans="2:23" x14ac:dyDescent="0.25">
      <c r="B22" t="s">
        <v>65</v>
      </c>
      <c r="C22" s="30">
        <v>435174</v>
      </c>
      <c r="E22" s="35">
        <v>0.47099999999999997</v>
      </c>
      <c r="F22">
        <f t="shared" si="3"/>
        <v>2</v>
      </c>
      <c r="G22">
        <f>IF($C23&gt;0,2,"")</f>
        <v>2</v>
      </c>
      <c r="H22">
        <f t="shared" si="0"/>
        <v>9.6</v>
      </c>
      <c r="I22" s="21">
        <f t="shared" si="1"/>
        <v>1375.32</v>
      </c>
      <c r="K22" t="s">
        <v>21</v>
      </c>
      <c r="L22" t="s">
        <v>21</v>
      </c>
      <c r="P22" s="48">
        <f>SUM(P5:P20)</f>
        <v>101196760</v>
      </c>
    </row>
    <row r="23" spans="2:23" x14ac:dyDescent="0.25">
      <c r="B23" t="s">
        <v>66</v>
      </c>
      <c r="C23" s="30">
        <v>378330</v>
      </c>
      <c r="E23" s="35">
        <v>0.58199999999999996</v>
      </c>
      <c r="F23">
        <f t="shared" si="3"/>
        <v>2</v>
      </c>
      <c r="G23">
        <v>3</v>
      </c>
      <c r="H23">
        <f t="shared" si="0"/>
        <v>12</v>
      </c>
      <c r="I23" s="21">
        <f t="shared" si="1"/>
        <v>2124.2999999999997</v>
      </c>
      <c r="K23" t="s">
        <v>21</v>
      </c>
      <c r="L23" t="s">
        <v>58</v>
      </c>
      <c r="T23" s="33" t="s">
        <v>67</v>
      </c>
      <c r="U23">
        <v>116.23699999999999</v>
      </c>
    </row>
    <row r="24" spans="2:23" ht="24" x14ac:dyDescent="0.4">
      <c r="B24" t="s">
        <v>68</v>
      </c>
      <c r="C24" s="30">
        <v>172078</v>
      </c>
      <c r="E24" s="35">
        <v>0.41599999999999998</v>
      </c>
      <c r="F24">
        <f t="shared" si="3"/>
        <v>2</v>
      </c>
      <c r="G24">
        <v>3</v>
      </c>
      <c r="H24">
        <f t="shared" si="0"/>
        <v>12</v>
      </c>
      <c r="I24" s="21">
        <f t="shared" si="1"/>
        <v>1518.4000000000003</v>
      </c>
      <c r="K24" t="s">
        <v>21</v>
      </c>
      <c r="L24" t="s">
        <v>52</v>
      </c>
      <c r="M24" s="38" t="s">
        <v>69</v>
      </c>
    </row>
    <row r="25" spans="2:23" x14ac:dyDescent="0.25">
      <c r="B25" s="33" t="s">
        <v>70</v>
      </c>
      <c r="C25" s="30">
        <v>154445</v>
      </c>
      <c r="E25" s="35">
        <v>0.54900000000000004</v>
      </c>
      <c r="F25">
        <f t="shared" si="3"/>
        <v>2</v>
      </c>
      <c r="G25">
        <v>3</v>
      </c>
      <c r="H25">
        <f t="shared" si="0"/>
        <v>12</v>
      </c>
      <c r="I25" s="21">
        <f t="shared" si="1"/>
        <v>2003.8500000000001</v>
      </c>
      <c r="K25" t="s">
        <v>63</v>
      </c>
      <c r="L25" t="s">
        <v>61</v>
      </c>
    </row>
    <row r="26" spans="2:23" x14ac:dyDescent="0.25">
      <c r="B26" t="s">
        <v>71</v>
      </c>
      <c r="C26" s="30">
        <v>148190</v>
      </c>
      <c r="E26" s="35">
        <v>0.54100000000000004</v>
      </c>
      <c r="F26">
        <f t="shared" si="3"/>
        <v>2</v>
      </c>
      <c r="G26">
        <v>3</v>
      </c>
      <c r="H26">
        <f t="shared" si="0"/>
        <v>12</v>
      </c>
      <c r="I26" s="21">
        <f t="shared" si="1"/>
        <v>1974.6500000000003</v>
      </c>
      <c r="K26" t="s">
        <v>21</v>
      </c>
      <c r="L26" t="s">
        <v>52</v>
      </c>
      <c r="N26" s="33" t="s">
        <v>11</v>
      </c>
      <c r="O26" s="33" t="s">
        <v>72</v>
      </c>
      <c r="P26" s="33" t="s">
        <v>73</v>
      </c>
      <c r="R26" s="33" t="s">
        <v>74</v>
      </c>
      <c r="S26" s="33" t="s">
        <v>75</v>
      </c>
      <c r="T26" s="33" t="s">
        <v>76</v>
      </c>
      <c r="U26" s="33" t="s">
        <v>77</v>
      </c>
      <c r="V26" s="33" t="s">
        <v>78</v>
      </c>
    </row>
    <row r="27" spans="2:23" x14ac:dyDescent="0.25">
      <c r="B27" t="s">
        <v>79</v>
      </c>
      <c r="C27" s="30">
        <v>145881</v>
      </c>
      <c r="E27" s="35">
        <v>0.44800000000000001</v>
      </c>
      <c r="F27">
        <f t="shared" si="3"/>
        <v>2</v>
      </c>
      <c r="G27">
        <f>IF($C28&gt;0,2,"")</f>
        <v>2</v>
      </c>
      <c r="H27">
        <f t="shared" si="0"/>
        <v>9.6</v>
      </c>
      <c r="I27" s="21">
        <f t="shared" si="1"/>
        <v>1308.1600000000001</v>
      </c>
      <c r="K27" t="s">
        <v>21</v>
      </c>
      <c r="L27" t="s">
        <v>58</v>
      </c>
      <c r="N27" s="33" t="s">
        <v>16</v>
      </c>
      <c r="O27" s="34">
        <f>SUMIF(R$5:R$20,N27,O$5:O$20)</f>
        <v>134425.60000000001</v>
      </c>
      <c r="P27" s="32">
        <f>SUMIF(R$5:R$20,N27,P$5:P$20)/1000/1000</f>
        <v>61.821178000000003</v>
      </c>
      <c r="Q27" t="s">
        <v>18</v>
      </c>
      <c r="S27" s="23">
        <v>1.3</v>
      </c>
      <c r="T27">
        <f>_xlfn.CEILING.MATH(O27/$U$23/1000)</f>
        <v>2</v>
      </c>
      <c r="U27">
        <v>4</v>
      </c>
      <c r="V27" s="33">
        <f>U27*$U$23</f>
        <v>464.94799999999998</v>
      </c>
      <c r="W27" s="21">
        <f>U27*S27*365*24/12</f>
        <v>3796</v>
      </c>
    </row>
    <row r="28" spans="2:23" x14ac:dyDescent="0.25">
      <c r="B28" t="s">
        <v>80</v>
      </c>
      <c r="C28" s="30">
        <v>70303</v>
      </c>
      <c r="E28" s="35">
        <v>0.71399999999999997</v>
      </c>
      <c r="F28">
        <f t="shared" si="3"/>
        <v>2</v>
      </c>
      <c r="G28">
        <f>IF($C29&gt;0,2,"")</f>
        <v>2</v>
      </c>
      <c r="H28">
        <f t="shared" si="0"/>
        <v>9.6</v>
      </c>
      <c r="I28" s="21">
        <f t="shared" si="1"/>
        <v>2084.88</v>
      </c>
      <c r="K28" t="s">
        <v>63</v>
      </c>
      <c r="L28" t="s">
        <v>61</v>
      </c>
      <c r="N28" s="33" t="s">
        <v>21</v>
      </c>
      <c r="O28" s="34">
        <f>SUMIF(R$5:R$20,N28,O$5:O$20)</f>
        <v>205933.20000000004</v>
      </c>
      <c r="P28" s="32">
        <f t="shared" ref="P28:P29" si="5">SUMIF(R$5:R$20,N28,P$5:P$20)/1000/1000</f>
        <v>39.150834000000003</v>
      </c>
      <c r="Q28" s="33" t="s">
        <v>81</v>
      </c>
      <c r="S28" s="23">
        <v>1.3</v>
      </c>
      <c r="T28">
        <f>_xlfn.CEILING.MATH(O28/$U$23/1000)</f>
        <v>2</v>
      </c>
      <c r="U28">
        <v>4</v>
      </c>
      <c r="V28" s="33">
        <f t="shared" ref="V28:V29" si="6">U28*$U$23</f>
        <v>464.94799999999998</v>
      </c>
      <c r="W28" s="21">
        <f t="shared" ref="W28:W29" si="7">U28*S28*365*24/12</f>
        <v>3796</v>
      </c>
    </row>
    <row r="29" spans="2:23" x14ac:dyDescent="0.25">
      <c r="B29" t="s">
        <v>82</v>
      </c>
      <c r="C29" s="30">
        <v>30850</v>
      </c>
      <c r="E29" s="35">
        <v>0.47199999999999998</v>
      </c>
      <c r="F29">
        <f t="shared" si="3"/>
        <v>2</v>
      </c>
      <c r="G29">
        <f>IF($C30&gt;0,2,"")</f>
        <v>2</v>
      </c>
      <c r="H29">
        <f t="shared" si="0"/>
        <v>9.6</v>
      </c>
      <c r="I29" s="21">
        <f t="shared" si="1"/>
        <v>1378.24</v>
      </c>
      <c r="K29" t="s">
        <v>21</v>
      </c>
      <c r="L29" t="s">
        <v>35</v>
      </c>
      <c r="N29" s="33" t="s">
        <v>63</v>
      </c>
      <c r="O29" s="34">
        <f>SUMIF(R$5:R$20,N29,O$5:O$20)</f>
        <v>150.4</v>
      </c>
      <c r="P29" s="32">
        <f t="shared" si="5"/>
        <v>0.224748</v>
      </c>
      <c r="Q29" t="s">
        <v>70</v>
      </c>
      <c r="S29" s="23">
        <v>1.3</v>
      </c>
      <c r="T29">
        <f>_xlfn.CEILING.MATH(O29/$U$23/1000)</f>
        <v>1</v>
      </c>
      <c r="U29">
        <v>4</v>
      </c>
      <c r="V29" s="33">
        <f t="shared" si="6"/>
        <v>464.94799999999998</v>
      </c>
      <c r="W29" s="21">
        <f t="shared" si="7"/>
        <v>3796</v>
      </c>
    </row>
    <row r="30" spans="2:23" x14ac:dyDescent="0.25">
      <c r="B30" t="s">
        <v>83</v>
      </c>
      <c r="C30" s="30">
        <v>15839</v>
      </c>
      <c r="E30" s="35">
        <v>0.54900000000000004</v>
      </c>
      <c r="F30">
        <f t="shared" si="3"/>
        <v>2</v>
      </c>
      <c r="G30">
        <f>IF($C31&gt;0,2,"")</f>
        <v>2</v>
      </c>
      <c r="H30">
        <f t="shared" si="0"/>
        <v>9.6</v>
      </c>
      <c r="I30" s="21">
        <f t="shared" si="1"/>
        <v>1603.0800000000002</v>
      </c>
      <c r="K30" t="s">
        <v>21</v>
      </c>
      <c r="L30" t="s">
        <v>43</v>
      </c>
      <c r="O30" s="47">
        <f>SUM(O27:O29)</f>
        <v>340509.20000000007</v>
      </c>
      <c r="P30" s="47">
        <f>SUM(P27:P29)</f>
        <v>101.19676000000001</v>
      </c>
    </row>
    <row r="31" spans="2:23" x14ac:dyDescent="0.25">
      <c r="B31" t="s">
        <v>84</v>
      </c>
      <c r="C31" s="30">
        <v>5212</v>
      </c>
      <c r="E31" s="35">
        <v>0.50800000000000001</v>
      </c>
      <c r="F31">
        <f t="shared" si="3"/>
        <v>2</v>
      </c>
      <c r="G31">
        <v>3</v>
      </c>
      <c r="H31">
        <f t="shared" si="0"/>
        <v>12</v>
      </c>
      <c r="I31" s="21">
        <f t="shared" si="1"/>
        <v>1854.2</v>
      </c>
      <c r="K31" t="s">
        <v>21</v>
      </c>
      <c r="L31" t="s">
        <v>49</v>
      </c>
      <c r="S31" s="33" t="s">
        <v>85</v>
      </c>
      <c r="U31">
        <f>SUM(U27:U29)</f>
        <v>12</v>
      </c>
      <c r="V31">
        <f>SUM(V27:V29)</f>
        <v>1394.8440000000001</v>
      </c>
    </row>
    <row r="32" spans="2:23" x14ac:dyDescent="0.25">
      <c r="B32" t="s">
        <v>86</v>
      </c>
      <c r="C32" s="30">
        <v>3998</v>
      </c>
      <c r="E32" s="35">
        <v>0.71399999999999997</v>
      </c>
      <c r="F32">
        <f t="shared" si="3"/>
        <v>2</v>
      </c>
      <c r="G32">
        <v>3</v>
      </c>
      <c r="H32">
        <f t="shared" si="0"/>
        <v>12</v>
      </c>
      <c r="I32" s="21">
        <f t="shared" si="1"/>
        <v>2606.1</v>
      </c>
      <c r="K32" t="s">
        <v>21</v>
      </c>
      <c r="L32" t="s">
        <v>43</v>
      </c>
      <c r="N32" s="33" t="s">
        <v>87</v>
      </c>
      <c r="T32" t="s">
        <v>88</v>
      </c>
      <c r="V32" s="16">
        <f>V31*3600*24*30/1000</f>
        <v>3615435.6480000005</v>
      </c>
    </row>
    <row r="33" spans="2:24" x14ac:dyDescent="0.25">
      <c r="C33" s="30"/>
      <c r="E33" s="35"/>
      <c r="I33" s="21"/>
      <c r="N33" s="33" t="s">
        <v>89</v>
      </c>
    </row>
    <row r="34" spans="2:24" x14ac:dyDescent="0.25">
      <c r="B34" t="s">
        <v>90</v>
      </c>
      <c r="C34" s="30">
        <f>SUM(C5:C32)</f>
        <v>101196760</v>
      </c>
      <c r="E34" s="35"/>
      <c r="I34" s="21"/>
      <c r="N34" s="33"/>
    </row>
    <row r="35" spans="2:24" x14ac:dyDescent="0.25">
      <c r="B35" t="s">
        <v>91</v>
      </c>
      <c r="C35" s="31">
        <f>SUM(C5:C32)/1000000</f>
        <v>101.19676</v>
      </c>
      <c r="E35" s="35"/>
      <c r="H35">
        <f>SUM(H5:H32)</f>
        <v>328.8</v>
      </c>
      <c r="I35" s="21"/>
    </row>
    <row r="36" spans="2:24" x14ac:dyDescent="0.25">
      <c r="B36" t="s">
        <v>88</v>
      </c>
      <c r="C36" s="16">
        <f>C35*512</f>
        <v>51812.741119999999</v>
      </c>
      <c r="H36" s="16">
        <f>H35*3600*24*30/1000</f>
        <v>852249.59999999998</v>
      </c>
    </row>
    <row r="37" spans="2:24" x14ac:dyDescent="0.25">
      <c r="F37" s="33" t="s">
        <v>92</v>
      </c>
      <c r="I37" s="36">
        <f>SUM(I5:I32)</f>
        <v>48552.299999999996</v>
      </c>
      <c r="S37" s="33" t="s">
        <v>93</v>
      </c>
      <c r="T37" s="33"/>
      <c r="W37" s="41">
        <f>SUM(W27:W29)</f>
        <v>11388</v>
      </c>
    </row>
    <row r="38" spans="2:24" x14ac:dyDescent="0.25">
      <c r="S38" s="33" t="s">
        <v>94</v>
      </c>
      <c r="T38" s="33"/>
      <c r="W38" s="36">
        <f>I40-W37</f>
        <v>3177.6900000000005</v>
      </c>
      <c r="X38" s="45">
        <f>W38/I40</f>
        <v>0.21816268230341304</v>
      </c>
    </row>
    <row r="39" spans="2:24" x14ac:dyDescent="0.25">
      <c r="B39" s="33" t="s">
        <v>95</v>
      </c>
      <c r="S39" s="33"/>
      <c r="T39" s="33"/>
      <c r="W39" s="36"/>
    </row>
    <row r="40" spans="2:24" x14ac:dyDescent="0.25">
      <c r="B40" s="33" t="s">
        <v>96</v>
      </c>
      <c r="C40" s="40">
        <v>0.7</v>
      </c>
      <c r="F40" s="33" t="s">
        <v>93</v>
      </c>
      <c r="I40" s="36">
        <f>I37*(1-$C$40)</f>
        <v>14565.69</v>
      </c>
      <c r="T40" s="33"/>
      <c r="W40" s="36"/>
    </row>
    <row r="41" spans="2:24" x14ac:dyDescent="0.25">
      <c r="T41" s="33"/>
      <c r="W41" s="36"/>
    </row>
    <row r="42" spans="2:24" x14ac:dyDescent="0.25">
      <c r="S42" s="33"/>
      <c r="T42" s="33"/>
      <c r="W42" s="36"/>
    </row>
    <row r="43" spans="2:24" x14ac:dyDescent="0.25">
      <c r="B43" t="s">
        <v>97</v>
      </c>
      <c r="C43" s="44">
        <f>I40/C36</f>
        <v>0.28112177980055886</v>
      </c>
      <c r="S43" s="33" t="s">
        <v>97</v>
      </c>
      <c r="W43" s="44">
        <f>W37/$C$36</f>
        <v>0.21979149826535949</v>
      </c>
    </row>
    <row r="48" spans="2:24" ht="24" x14ac:dyDescent="0.4">
      <c r="M48" s="38" t="s">
        <v>98</v>
      </c>
    </row>
    <row r="49" spans="13:18" x14ac:dyDescent="0.25">
      <c r="M49" t="s">
        <v>99</v>
      </c>
    </row>
    <row r="50" spans="13:18" x14ac:dyDescent="0.25">
      <c r="M50" t="s">
        <v>100</v>
      </c>
    </row>
    <row r="51" spans="13:18" x14ac:dyDescent="0.25">
      <c r="N51" s="33" t="s">
        <v>12</v>
      </c>
      <c r="O51" s="33" t="s">
        <v>13</v>
      </c>
      <c r="P51" s="33" t="s">
        <v>5</v>
      </c>
      <c r="Q51" s="33" t="s">
        <v>14</v>
      </c>
      <c r="R51" s="33" t="s">
        <v>11</v>
      </c>
    </row>
    <row r="52" spans="13:18" x14ac:dyDescent="0.25">
      <c r="N52" t="s">
        <v>16</v>
      </c>
      <c r="O52">
        <v>100744.8</v>
      </c>
      <c r="P52" s="16">
        <f>SUMIFS(C$5:C$32,L$5:L$32,N52)</f>
        <v>59143761</v>
      </c>
      <c r="Q52" t="s">
        <v>17</v>
      </c>
      <c r="R52" t="s">
        <v>16</v>
      </c>
    </row>
    <row r="53" spans="13:18" x14ac:dyDescent="0.25">
      <c r="N53" t="s">
        <v>19</v>
      </c>
      <c r="O53">
        <v>85600.4</v>
      </c>
      <c r="P53" s="16">
        <f t="shared" ref="P53:P67" si="8">SUMIFS(C$5:C$32,L$5:L$32,N53)</f>
        <v>1845275</v>
      </c>
      <c r="Q53" t="s">
        <v>101</v>
      </c>
      <c r="R53" t="s">
        <v>29</v>
      </c>
    </row>
    <row r="54" spans="13:18" x14ac:dyDescent="0.25">
      <c r="N54" t="s">
        <v>23</v>
      </c>
      <c r="O54">
        <v>32722.799999999999</v>
      </c>
      <c r="P54" s="16">
        <f t="shared" si="8"/>
        <v>3099955</v>
      </c>
      <c r="Q54" t="s">
        <v>102</v>
      </c>
      <c r="R54" t="s">
        <v>29</v>
      </c>
    </row>
    <row r="55" spans="13:18" x14ac:dyDescent="0.25">
      <c r="N55" t="s">
        <v>26</v>
      </c>
      <c r="O55">
        <v>30286.400000000001</v>
      </c>
      <c r="P55" s="16">
        <f t="shared" si="8"/>
        <v>1187177</v>
      </c>
      <c r="Q55" t="s">
        <v>27</v>
      </c>
      <c r="R55" t="s">
        <v>16</v>
      </c>
    </row>
    <row r="56" spans="13:18" x14ac:dyDescent="0.25">
      <c r="N56" t="s">
        <v>29</v>
      </c>
      <c r="O56">
        <v>26769.200000000001</v>
      </c>
      <c r="P56" s="16">
        <f t="shared" si="8"/>
        <v>6569938</v>
      </c>
      <c r="Q56" t="s">
        <v>103</v>
      </c>
      <c r="R56" t="s">
        <v>29</v>
      </c>
    </row>
    <row r="57" spans="13:18" x14ac:dyDescent="0.25">
      <c r="N57" t="s">
        <v>21</v>
      </c>
      <c r="O57">
        <v>26081.599999999999</v>
      </c>
      <c r="P57" s="16">
        <f t="shared" si="8"/>
        <v>20280275</v>
      </c>
      <c r="Q57" t="s">
        <v>33</v>
      </c>
      <c r="R57" t="s">
        <v>21</v>
      </c>
    </row>
    <row r="58" spans="13:18" x14ac:dyDescent="0.25">
      <c r="N58" t="s">
        <v>35</v>
      </c>
      <c r="O58">
        <v>12603.2</v>
      </c>
      <c r="P58" s="16">
        <f t="shared" si="8"/>
        <v>30850</v>
      </c>
      <c r="Q58" t="s">
        <v>104</v>
      </c>
      <c r="R58" t="s">
        <v>29</v>
      </c>
    </row>
    <row r="59" spans="13:18" x14ac:dyDescent="0.25">
      <c r="N59" t="s">
        <v>38</v>
      </c>
      <c r="O59">
        <v>5946.8</v>
      </c>
      <c r="P59" s="16">
        <f t="shared" si="8"/>
        <v>518656</v>
      </c>
      <c r="Q59" t="s">
        <v>105</v>
      </c>
      <c r="R59" t="s">
        <v>29</v>
      </c>
    </row>
    <row r="60" spans="13:18" x14ac:dyDescent="0.25">
      <c r="N60" t="s">
        <v>32</v>
      </c>
      <c r="O60">
        <v>4524.8</v>
      </c>
      <c r="P60" s="16">
        <f t="shared" si="8"/>
        <v>5307325</v>
      </c>
      <c r="Q60" t="s">
        <v>41</v>
      </c>
      <c r="R60" t="s">
        <v>21</v>
      </c>
    </row>
    <row r="61" spans="13:18" x14ac:dyDescent="0.25">
      <c r="N61" t="s">
        <v>43</v>
      </c>
      <c r="O61">
        <v>4419.2</v>
      </c>
      <c r="P61" s="16">
        <f t="shared" si="8"/>
        <v>19837</v>
      </c>
      <c r="Q61" t="s">
        <v>44</v>
      </c>
      <c r="R61" t="s">
        <v>21</v>
      </c>
    </row>
    <row r="62" spans="13:18" x14ac:dyDescent="0.25">
      <c r="N62" t="s">
        <v>46</v>
      </c>
      <c r="O62">
        <v>3394.4</v>
      </c>
      <c r="P62" s="16">
        <f t="shared" si="8"/>
        <v>1490240</v>
      </c>
      <c r="Q62" t="s">
        <v>47</v>
      </c>
      <c r="R62" t="s">
        <v>16</v>
      </c>
    </row>
    <row r="63" spans="13:18" x14ac:dyDescent="0.25">
      <c r="N63" t="s">
        <v>49</v>
      </c>
      <c r="O63">
        <v>2959.2</v>
      </c>
      <c r="P63" s="16">
        <f t="shared" si="8"/>
        <v>5212</v>
      </c>
      <c r="Q63" t="s">
        <v>50</v>
      </c>
      <c r="R63" t="s">
        <v>21</v>
      </c>
    </row>
    <row r="64" spans="13:18" x14ac:dyDescent="0.25">
      <c r="N64" t="s">
        <v>52</v>
      </c>
      <c r="O64">
        <v>2067.1999999999998</v>
      </c>
      <c r="P64" s="16">
        <f t="shared" si="8"/>
        <v>320268</v>
      </c>
      <c r="Q64" t="s">
        <v>53</v>
      </c>
      <c r="R64" t="s">
        <v>21</v>
      </c>
    </row>
    <row r="65" spans="13:18" x14ac:dyDescent="0.25">
      <c r="N65" t="s">
        <v>55</v>
      </c>
      <c r="O65">
        <v>1267.2</v>
      </c>
      <c r="P65" s="16">
        <f t="shared" si="8"/>
        <v>629032</v>
      </c>
      <c r="Q65" t="s">
        <v>106</v>
      </c>
      <c r="R65" t="s">
        <v>29</v>
      </c>
    </row>
    <row r="66" spans="13:18" x14ac:dyDescent="0.25">
      <c r="N66" t="s">
        <v>58</v>
      </c>
      <c r="O66">
        <v>971.6</v>
      </c>
      <c r="P66" s="16">
        <f t="shared" si="8"/>
        <v>524211</v>
      </c>
      <c r="Q66" t="s">
        <v>59</v>
      </c>
      <c r="R66" t="s">
        <v>21</v>
      </c>
    </row>
    <row r="67" spans="13:18" x14ac:dyDescent="0.25">
      <c r="N67" t="s">
        <v>61</v>
      </c>
      <c r="O67">
        <v>150.4</v>
      </c>
      <c r="P67" s="16">
        <f t="shared" si="8"/>
        <v>224748</v>
      </c>
      <c r="Q67" t="s">
        <v>107</v>
      </c>
      <c r="R67" t="s">
        <v>21</v>
      </c>
    </row>
    <row r="69" spans="13:18" x14ac:dyDescent="0.25">
      <c r="P69" s="28">
        <f>SUM(P52:P67)</f>
        <v>101196760</v>
      </c>
    </row>
    <row r="71" spans="13:18" ht="24" x14ac:dyDescent="0.4">
      <c r="M71" s="38" t="s">
        <v>108</v>
      </c>
    </row>
    <row r="73" spans="13:18" x14ac:dyDescent="0.25">
      <c r="N73" s="33" t="s">
        <v>11</v>
      </c>
      <c r="O73" s="33" t="s">
        <v>72</v>
      </c>
      <c r="P73" s="33" t="s">
        <v>73</v>
      </c>
      <c r="R73" s="33"/>
    </row>
    <row r="74" spans="13:18" x14ac:dyDescent="0.25">
      <c r="N74" s="33" t="s">
        <v>16</v>
      </c>
      <c r="O74" s="34">
        <f>SUMIF(R$52:R$67,N74,O$52:O$67)</f>
        <v>134425.60000000001</v>
      </c>
      <c r="P74" s="32">
        <f>SUMIF(R$52:R$67,N74,P$52:P$67)/1000/1000</f>
        <v>61.821178000000003</v>
      </c>
      <c r="Q74" t="s">
        <v>18</v>
      </c>
    </row>
    <row r="75" spans="13:18" x14ac:dyDescent="0.25">
      <c r="N75" s="33" t="s">
        <v>21</v>
      </c>
      <c r="O75" s="34">
        <f>SUMIF(R$52:R$67,N75,O$52:O$67)</f>
        <v>41173.999999999993</v>
      </c>
      <c r="P75" s="32">
        <f t="shared" ref="P75:P76" si="9">SUMIF(R$52:R$67,N75,P$52:P$67)/1000/1000</f>
        <v>26.681875999999999</v>
      </c>
      <c r="Q75" t="s">
        <v>81</v>
      </c>
    </row>
    <row r="76" spans="13:18" x14ac:dyDescent="0.25">
      <c r="N76" s="33" t="s">
        <v>29</v>
      </c>
      <c r="O76" s="34">
        <f>SUMIF(R$52:R$67,N76,O$52:O$67)</f>
        <v>164909.6</v>
      </c>
      <c r="P76" s="32">
        <f t="shared" si="9"/>
        <v>12.693706000000001</v>
      </c>
      <c r="Q76" t="s">
        <v>109</v>
      </c>
    </row>
    <row r="77" spans="13:18" x14ac:dyDescent="0.25">
      <c r="O77" s="47">
        <f>SUM(O74:O76)</f>
        <v>340509.2</v>
      </c>
      <c r="P77" s="47">
        <f>SUM(P74:P76)</f>
        <v>101.19676000000001</v>
      </c>
    </row>
    <row r="79" spans="13:18" x14ac:dyDescent="0.25">
      <c r="N79" s="33"/>
    </row>
    <row r="80" spans="13:18" x14ac:dyDescent="0.25">
      <c r="N80" s="33"/>
    </row>
  </sheetData>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7DE22-7C8B-2943-9DBC-FD015F7C5033}">
  <dimension ref="A2:S56"/>
  <sheetViews>
    <sheetView topLeftCell="M10" zoomScale="211" zoomScaleNormal="211" workbookViewId="0">
      <selection activeCell="M10" sqref="M10"/>
    </sheetView>
  </sheetViews>
  <sheetFormatPr defaultColWidth="11" defaultRowHeight="15.75" x14ac:dyDescent="0.25"/>
  <cols>
    <col min="1" max="1" width="14" customWidth="1"/>
    <col min="2" max="2" width="21" customWidth="1"/>
    <col min="5" max="5" width="8.625" customWidth="1"/>
    <col min="7" max="7" width="11.625" customWidth="1"/>
    <col min="8" max="8" width="4.625" customWidth="1"/>
    <col min="9" max="9" width="8.875" customWidth="1"/>
    <col min="10" max="10" width="14.625" customWidth="1"/>
    <col min="11" max="11" width="6.5" customWidth="1"/>
    <col min="13" max="14" width="16" customWidth="1"/>
    <col min="15" max="15" width="11.875" customWidth="1"/>
    <col min="16" max="16" width="16" customWidth="1"/>
  </cols>
  <sheetData>
    <row r="2" spans="1:19" x14ac:dyDescent="0.25">
      <c r="B2" t="s">
        <v>110</v>
      </c>
      <c r="F2" t="s">
        <v>111</v>
      </c>
    </row>
    <row r="3" spans="1:19" x14ac:dyDescent="0.25">
      <c r="F3" t="s">
        <v>112</v>
      </c>
    </row>
    <row r="4" spans="1:19" x14ac:dyDescent="0.25">
      <c r="F4" t="s">
        <v>113</v>
      </c>
    </row>
    <row r="5" spans="1:19" x14ac:dyDescent="0.25">
      <c r="M5" t="s">
        <v>114</v>
      </c>
      <c r="N5">
        <v>250000</v>
      </c>
    </row>
    <row r="6" spans="1:19" x14ac:dyDescent="0.25">
      <c r="F6" t="s">
        <v>115</v>
      </c>
      <c r="G6" t="s">
        <v>116</v>
      </c>
      <c r="K6" t="s">
        <v>117</v>
      </c>
    </row>
    <row r="7" spans="1:19" x14ac:dyDescent="0.25">
      <c r="F7" t="s">
        <v>118</v>
      </c>
      <c r="G7" t="s">
        <v>119</v>
      </c>
      <c r="Q7" t="s">
        <v>120</v>
      </c>
    </row>
    <row r="8" spans="1:19" x14ac:dyDescent="0.25">
      <c r="C8" t="s">
        <v>121</v>
      </c>
      <c r="D8" t="s">
        <v>122</v>
      </c>
      <c r="E8" t="s">
        <v>123</v>
      </c>
      <c r="F8" t="s">
        <v>124</v>
      </c>
      <c r="G8" t="s">
        <v>125</v>
      </c>
      <c r="I8" t="s">
        <v>126</v>
      </c>
      <c r="K8" t="s">
        <v>127</v>
      </c>
      <c r="L8" t="s">
        <v>128</v>
      </c>
      <c r="M8" t="s">
        <v>129</v>
      </c>
      <c r="N8" t="s">
        <v>130</v>
      </c>
      <c r="O8" t="s">
        <v>131</v>
      </c>
      <c r="Q8" t="s">
        <v>132</v>
      </c>
      <c r="R8" t="s">
        <v>125</v>
      </c>
      <c r="S8" t="s">
        <v>133</v>
      </c>
    </row>
    <row r="10" spans="1:19" x14ac:dyDescent="0.25">
      <c r="A10" t="s">
        <v>134</v>
      </c>
      <c r="B10" s="2" t="s">
        <v>15</v>
      </c>
      <c r="C10" s="2">
        <v>35096021</v>
      </c>
      <c r="D10">
        <v>4</v>
      </c>
      <c r="E10">
        <v>5</v>
      </c>
      <c r="F10" s="23">
        <v>0.38400000000000001</v>
      </c>
      <c r="G10" s="19">
        <f>IF(F10&gt;0,F10*365*24/12,"")</f>
        <v>280.32</v>
      </c>
      <c r="I10" s="21">
        <f>IF($G10&gt;0,($D10+$E10)*$G10,"")</f>
        <v>2522.88</v>
      </c>
      <c r="J10" s="21"/>
      <c r="K10" s="24">
        <v>2</v>
      </c>
      <c r="L10" s="23">
        <v>3.673</v>
      </c>
      <c r="M10" s="19">
        <f t="shared" ref="M10:M41" si="0">IF(L10&gt;0,L10*365*24/12,"")</f>
        <v>2681.29</v>
      </c>
      <c r="N10" s="19"/>
      <c r="O10" s="19">
        <f>IF(N10="X",E10*G10,IF(M10&gt;0,M10,""))</f>
        <v>2681.29</v>
      </c>
      <c r="P10" s="19"/>
      <c r="Q10" s="23">
        <v>0.38400000000000001</v>
      </c>
      <c r="R10" s="19">
        <v>280.32</v>
      </c>
      <c r="S10" t="str">
        <f>IF(AND(R10&gt;0,R10&lt;&gt;G10),"MISMATCH","")</f>
        <v/>
      </c>
    </row>
    <row r="11" spans="1:19" x14ac:dyDescent="0.25">
      <c r="B11" s="2" t="s">
        <v>18</v>
      </c>
      <c r="C11" s="2">
        <v>24047740</v>
      </c>
      <c r="D11">
        <v>4</v>
      </c>
      <c r="E11">
        <v>5</v>
      </c>
      <c r="F11" s="23">
        <v>0.44800000000000001</v>
      </c>
      <c r="G11" s="19">
        <f t="shared" ref="G11:G37" si="1">IF(F11&gt;0,F11*365*24/12,"")</f>
        <v>327.04000000000002</v>
      </c>
      <c r="I11" s="21">
        <f t="shared" ref="I11:I37" si="2">IF($G11&gt;0,($D11+$E11)*$G11,"")</f>
        <v>2943.36</v>
      </c>
      <c r="J11" s="21"/>
      <c r="K11" s="24"/>
      <c r="M11" s="19" t="str">
        <f t="shared" si="0"/>
        <v/>
      </c>
      <c r="N11" s="19"/>
      <c r="O11" s="19" t="str">
        <f t="shared" ref="O11:O41" si="3">IF(N11="X",E11*G11,IF(M11&gt;0,M11,""))</f>
        <v/>
      </c>
      <c r="P11" s="19"/>
      <c r="Q11" s="23">
        <v>0.44800000000000001</v>
      </c>
      <c r="R11" s="19">
        <v>327.04000000000002</v>
      </c>
      <c r="S11" t="str">
        <f>IF(AND(R11&gt;0,R11&lt;&gt;G11),"MISMATCH","")</f>
        <v/>
      </c>
    </row>
    <row r="12" spans="1:19" x14ac:dyDescent="0.25">
      <c r="B12" s="2" t="s">
        <v>51</v>
      </c>
      <c r="C12" s="2">
        <v>946247</v>
      </c>
      <c r="D12">
        <f t="shared" ref="D12:E14" si="4">IF($C12&gt;0,2,"")</f>
        <v>2</v>
      </c>
      <c r="E12">
        <f t="shared" si="4"/>
        <v>2</v>
      </c>
      <c r="F12" s="23">
        <v>0.42799999999999999</v>
      </c>
      <c r="G12" s="19">
        <f t="shared" si="1"/>
        <v>312.44</v>
      </c>
      <c r="I12" s="21">
        <f t="shared" si="2"/>
        <v>1249.76</v>
      </c>
      <c r="J12" s="21"/>
      <c r="K12" s="24"/>
      <c r="M12" s="19" t="str">
        <f t="shared" si="0"/>
        <v/>
      </c>
      <c r="N12" s="19"/>
      <c r="O12" s="19" t="str">
        <f t="shared" si="3"/>
        <v/>
      </c>
      <c r="P12" s="19"/>
      <c r="S12" t="str">
        <f t="shared" ref="S12:S37" si="5">IF(AND(R12&gt;0,R12&lt;&gt;G12),"MISMATCH","")</f>
        <v/>
      </c>
    </row>
    <row r="13" spans="1:19" x14ac:dyDescent="0.25">
      <c r="B13" s="2" t="s">
        <v>60</v>
      </c>
      <c r="C13" s="2">
        <v>543993</v>
      </c>
      <c r="D13">
        <f t="shared" si="4"/>
        <v>2</v>
      </c>
      <c r="E13">
        <f t="shared" si="4"/>
        <v>2</v>
      </c>
      <c r="F13" s="23">
        <v>0.42799999999999999</v>
      </c>
      <c r="G13" s="19">
        <f t="shared" si="1"/>
        <v>312.44</v>
      </c>
      <c r="I13" s="21">
        <f t="shared" si="2"/>
        <v>1249.76</v>
      </c>
      <c r="J13" s="21"/>
      <c r="K13" s="24"/>
      <c r="M13" s="19" t="str">
        <f t="shared" si="0"/>
        <v/>
      </c>
      <c r="N13" s="19"/>
      <c r="O13" s="19" t="str">
        <f t="shared" si="3"/>
        <v/>
      </c>
      <c r="P13" s="19"/>
      <c r="S13" t="str">
        <f t="shared" si="5"/>
        <v/>
      </c>
    </row>
    <row r="14" spans="1:19" x14ac:dyDescent="0.25">
      <c r="A14" t="s">
        <v>33</v>
      </c>
      <c r="B14" s="2" t="s">
        <v>135</v>
      </c>
      <c r="C14" s="2">
        <v>10606135</v>
      </c>
      <c r="D14">
        <f t="shared" si="4"/>
        <v>2</v>
      </c>
      <c r="E14">
        <f t="shared" si="4"/>
        <v>2</v>
      </c>
      <c r="F14" s="23">
        <v>0.42799999999999999</v>
      </c>
      <c r="G14" s="19">
        <f t="shared" si="1"/>
        <v>312.44</v>
      </c>
      <c r="I14" s="21">
        <f t="shared" si="2"/>
        <v>1249.76</v>
      </c>
      <c r="J14" s="21"/>
      <c r="K14" s="24">
        <v>2</v>
      </c>
      <c r="M14" s="19" t="str">
        <f t="shared" si="0"/>
        <v/>
      </c>
      <c r="N14" s="19"/>
      <c r="O14" s="19" t="str">
        <f t="shared" si="3"/>
        <v/>
      </c>
      <c r="P14" s="19"/>
      <c r="S14" t="str">
        <f t="shared" si="5"/>
        <v/>
      </c>
    </row>
    <row r="15" spans="1:19" x14ac:dyDescent="0.25">
      <c r="B15" s="2" t="s">
        <v>25</v>
      </c>
      <c r="C15" s="2">
        <v>9238966</v>
      </c>
      <c r="D15">
        <f t="shared" ref="D15:D37" si="6">IF($C15&gt;0,2,"")</f>
        <v>2</v>
      </c>
      <c r="E15">
        <v>5</v>
      </c>
      <c r="F15" s="23">
        <v>0.46</v>
      </c>
      <c r="G15" s="19">
        <f t="shared" si="1"/>
        <v>335.8</v>
      </c>
      <c r="I15" s="21">
        <f t="shared" si="2"/>
        <v>2350.6</v>
      </c>
      <c r="J15" s="21"/>
      <c r="K15" s="24"/>
      <c r="M15" s="19" t="str">
        <f t="shared" si="0"/>
        <v/>
      </c>
      <c r="N15" s="19"/>
      <c r="O15" s="19" t="str">
        <f t="shared" si="3"/>
        <v/>
      </c>
      <c r="P15" s="19"/>
      <c r="S15" t="str">
        <f t="shared" si="5"/>
        <v/>
      </c>
    </row>
    <row r="16" spans="1:19" x14ac:dyDescent="0.25">
      <c r="B16" s="2" t="s">
        <v>66</v>
      </c>
      <c r="C16" s="2">
        <v>378330</v>
      </c>
      <c r="D16">
        <f t="shared" si="6"/>
        <v>2</v>
      </c>
      <c r="E16">
        <f t="shared" ref="E16:E23" si="7">IF($C16&gt;0,2,"")</f>
        <v>2</v>
      </c>
      <c r="F16" s="23">
        <v>0.58199999999999996</v>
      </c>
      <c r="G16" s="19">
        <f t="shared" si="1"/>
        <v>424.85999999999996</v>
      </c>
      <c r="I16" s="21">
        <f t="shared" si="2"/>
        <v>1699.4399999999998</v>
      </c>
      <c r="J16" s="21"/>
      <c r="K16" s="24"/>
      <c r="M16" s="19" t="str">
        <f t="shared" si="0"/>
        <v/>
      </c>
      <c r="N16" s="19"/>
      <c r="O16" s="19" t="str">
        <f t="shared" si="3"/>
        <v/>
      </c>
      <c r="P16" s="19"/>
      <c r="S16" t="str">
        <f t="shared" si="5"/>
        <v/>
      </c>
    </row>
    <row r="17" spans="1:19" x14ac:dyDescent="0.25">
      <c r="B17" s="2" t="s">
        <v>79</v>
      </c>
      <c r="C17" s="2">
        <v>145881</v>
      </c>
      <c r="D17">
        <f t="shared" si="6"/>
        <v>2</v>
      </c>
      <c r="E17">
        <f t="shared" si="7"/>
        <v>2</v>
      </c>
      <c r="F17" s="23">
        <v>0.44800000000000001</v>
      </c>
      <c r="G17" s="19">
        <f t="shared" si="1"/>
        <v>327.04000000000002</v>
      </c>
      <c r="I17" s="21">
        <f t="shared" si="2"/>
        <v>1308.1600000000001</v>
      </c>
      <c r="J17" s="21"/>
      <c r="K17" s="24"/>
      <c r="M17" s="19" t="str">
        <f t="shared" si="0"/>
        <v/>
      </c>
      <c r="N17" s="19"/>
      <c r="O17" s="19" t="str">
        <f t="shared" si="3"/>
        <v/>
      </c>
      <c r="P17" s="19"/>
      <c r="S17" t="str">
        <f t="shared" si="5"/>
        <v/>
      </c>
    </row>
    <row r="18" spans="1:19" x14ac:dyDescent="0.25">
      <c r="B18" s="2" t="s">
        <v>70</v>
      </c>
      <c r="C18" s="2">
        <v>154445</v>
      </c>
      <c r="D18">
        <f t="shared" si="6"/>
        <v>2</v>
      </c>
      <c r="E18">
        <f t="shared" si="7"/>
        <v>2</v>
      </c>
      <c r="F18" s="23">
        <v>0.54900000000000004</v>
      </c>
      <c r="G18" s="19">
        <f t="shared" si="1"/>
        <v>400.77000000000004</v>
      </c>
      <c r="I18" s="21">
        <f t="shared" si="2"/>
        <v>1603.0800000000002</v>
      </c>
      <c r="J18" s="21"/>
      <c r="K18" s="24"/>
      <c r="M18" s="19" t="str">
        <f t="shared" si="0"/>
        <v/>
      </c>
      <c r="N18" s="19"/>
      <c r="O18" s="19" t="str">
        <f t="shared" si="3"/>
        <v/>
      </c>
      <c r="P18" s="19"/>
      <c r="Q18" s="23">
        <v>0.54900000000000004</v>
      </c>
      <c r="R18" s="19">
        <v>400.77</v>
      </c>
      <c r="S18" t="str">
        <f t="shared" si="5"/>
        <v/>
      </c>
    </row>
    <row r="19" spans="1:19" x14ac:dyDescent="0.25">
      <c r="B19" s="2" t="s">
        <v>80</v>
      </c>
      <c r="C19" s="2">
        <v>70303</v>
      </c>
      <c r="D19">
        <f t="shared" si="6"/>
        <v>2</v>
      </c>
      <c r="E19">
        <f t="shared" si="7"/>
        <v>2</v>
      </c>
      <c r="F19" s="23">
        <v>0.71399999999999997</v>
      </c>
      <c r="G19" s="19">
        <f t="shared" si="1"/>
        <v>521.22</v>
      </c>
      <c r="I19" s="21">
        <f t="shared" si="2"/>
        <v>2084.88</v>
      </c>
      <c r="J19" s="21"/>
      <c r="K19" s="24"/>
      <c r="M19" s="19" t="str">
        <f t="shared" si="0"/>
        <v/>
      </c>
      <c r="N19" s="19"/>
      <c r="O19" s="19" t="str">
        <f t="shared" si="3"/>
        <v/>
      </c>
      <c r="P19" s="19"/>
      <c r="Q19" s="23">
        <v>0.71399999999999997</v>
      </c>
      <c r="R19" s="19">
        <v>521.22</v>
      </c>
      <c r="S19" t="str">
        <f t="shared" si="5"/>
        <v/>
      </c>
    </row>
    <row r="20" spans="1:19" x14ac:dyDescent="0.25">
      <c r="B20" s="2" t="s">
        <v>68</v>
      </c>
      <c r="C20" s="2">
        <v>172078</v>
      </c>
      <c r="D20">
        <f t="shared" si="6"/>
        <v>2</v>
      </c>
      <c r="E20">
        <f t="shared" si="7"/>
        <v>2</v>
      </c>
      <c r="F20" s="23">
        <v>0.41599999999999998</v>
      </c>
      <c r="G20" s="19">
        <f t="shared" si="1"/>
        <v>303.68</v>
      </c>
      <c r="I20" s="21">
        <f t="shared" si="2"/>
        <v>1214.72</v>
      </c>
      <c r="J20" s="21"/>
      <c r="K20" s="24"/>
      <c r="M20" s="19" t="str">
        <f t="shared" si="0"/>
        <v/>
      </c>
      <c r="N20" s="19"/>
      <c r="O20" s="19" t="str">
        <f t="shared" si="3"/>
        <v/>
      </c>
      <c r="P20" s="19"/>
      <c r="S20" t="str">
        <f t="shared" si="5"/>
        <v/>
      </c>
    </row>
    <row r="21" spans="1:19" x14ac:dyDescent="0.25">
      <c r="B21" s="2" t="s">
        <v>71</v>
      </c>
      <c r="C21" s="2">
        <v>148190</v>
      </c>
      <c r="D21">
        <f t="shared" si="6"/>
        <v>2</v>
      </c>
      <c r="E21">
        <f t="shared" si="7"/>
        <v>2</v>
      </c>
      <c r="F21" s="23">
        <v>0.54100000000000004</v>
      </c>
      <c r="G21" s="19">
        <f t="shared" si="1"/>
        <v>394.93</v>
      </c>
      <c r="I21" s="21">
        <f t="shared" si="2"/>
        <v>1579.72</v>
      </c>
      <c r="J21" s="21"/>
      <c r="K21" s="24"/>
      <c r="M21" s="19" t="str">
        <f t="shared" si="0"/>
        <v/>
      </c>
      <c r="N21" s="19"/>
      <c r="O21" s="19" t="str">
        <f t="shared" si="3"/>
        <v/>
      </c>
      <c r="P21" s="19"/>
      <c r="S21" t="str">
        <f t="shared" si="5"/>
        <v/>
      </c>
    </row>
    <row r="22" spans="1:19" x14ac:dyDescent="0.25">
      <c r="B22" s="2" t="s">
        <v>83</v>
      </c>
      <c r="C22" s="2">
        <v>15839</v>
      </c>
      <c r="D22">
        <f t="shared" si="6"/>
        <v>2</v>
      </c>
      <c r="E22">
        <f t="shared" si="7"/>
        <v>2</v>
      </c>
      <c r="F22" s="23">
        <v>0.54900000000000004</v>
      </c>
      <c r="G22" s="19">
        <f t="shared" si="1"/>
        <v>400.77000000000004</v>
      </c>
      <c r="I22" s="21">
        <f t="shared" si="2"/>
        <v>1603.0800000000002</v>
      </c>
      <c r="J22" s="21"/>
      <c r="K22" s="24"/>
      <c r="M22" s="19" t="str">
        <f t="shared" si="0"/>
        <v/>
      </c>
      <c r="N22" s="19"/>
      <c r="O22" s="19" t="str">
        <f t="shared" si="3"/>
        <v/>
      </c>
      <c r="P22" s="19"/>
      <c r="S22" t="str">
        <f t="shared" si="5"/>
        <v/>
      </c>
    </row>
    <row r="23" spans="1:19" x14ac:dyDescent="0.25">
      <c r="B23" s="2" t="s">
        <v>86</v>
      </c>
      <c r="C23" s="2">
        <v>3998</v>
      </c>
      <c r="D23">
        <f t="shared" si="6"/>
        <v>2</v>
      </c>
      <c r="E23">
        <f t="shared" si="7"/>
        <v>2</v>
      </c>
      <c r="F23" s="23">
        <v>0.71399999999999997</v>
      </c>
      <c r="G23" s="19">
        <f t="shared" si="1"/>
        <v>521.22</v>
      </c>
      <c r="I23" s="21">
        <f t="shared" si="2"/>
        <v>2084.88</v>
      </c>
      <c r="J23" s="21"/>
      <c r="K23" s="24"/>
      <c r="M23" s="19" t="str">
        <f t="shared" si="0"/>
        <v/>
      </c>
      <c r="N23" s="19"/>
      <c r="O23" s="19" t="str">
        <f t="shared" si="3"/>
        <v/>
      </c>
      <c r="P23" s="19"/>
      <c r="S23" t="str">
        <f t="shared" si="5"/>
        <v/>
      </c>
    </row>
    <row r="24" spans="1:19" x14ac:dyDescent="0.25">
      <c r="A24" t="s">
        <v>136</v>
      </c>
      <c r="B24" s="2" t="s">
        <v>31</v>
      </c>
      <c r="C24" s="2">
        <v>3996391</v>
      </c>
      <c r="D24">
        <f t="shared" si="6"/>
        <v>2</v>
      </c>
      <c r="E24">
        <v>3</v>
      </c>
      <c r="F24" s="23">
        <v>0.44400000000000001</v>
      </c>
      <c r="G24" s="19">
        <f t="shared" si="1"/>
        <v>324.12</v>
      </c>
      <c r="I24" s="21">
        <f t="shared" si="2"/>
        <v>1620.6</v>
      </c>
      <c r="J24" s="21"/>
      <c r="K24" s="24"/>
      <c r="M24" s="19" t="str">
        <f t="shared" si="0"/>
        <v/>
      </c>
      <c r="N24" s="19" t="s">
        <v>137</v>
      </c>
      <c r="O24" s="19">
        <f t="shared" si="3"/>
        <v>972.36</v>
      </c>
      <c r="P24" s="19"/>
      <c r="S24" t="str">
        <f t="shared" si="5"/>
        <v/>
      </c>
    </row>
    <row r="25" spans="1:19" x14ac:dyDescent="0.25">
      <c r="B25" s="2" t="s">
        <v>42</v>
      </c>
      <c r="C25" s="2">
        <v>1310934</v>
      </c>
      <c r="D25">
        <f t="shared" si="6"/>
        <v>2</v>
      </c>
      <c r="E25">
        <f>IF($C25&gt;0,2,"")</f>
        <v>2</v>
      </c>
      <c r="F25" s="23">
        <v>0.46500000000000002</v>
      </c>
      <c r="G25" s="19">
        <f t="shared" si="1"/>
        <v>339.45000000000005</v>
      </c>
      <c r="I25" s="21">
        <f t="shared" si="2"/>
        <v>1357.8000000000002</v>
      </c>
      <c r="J25" s="21"/>
      <c r="K25" s="24"/>
      <c r="M25" s="19" t="str">
        <f t="shared" si="0"/>
        <v/>
      </c>
      <c r="N25" s="19" t="s">
        <v>137</v>
      </c>
      <c r="O25" s="19">
        <f t="shared" si="3"/>
        <v>678.90000000000009</v>
      </c>
      <c r="P25" s="19"/>
      <c r="S25" t="str">
        <f t="shared" si="5"/>
        <v/>
      </c>
    </row>
    <row r="26" spans="1:19" x14ac:dyDescent="0.25">
      <c r="A26" t="s">
        <v>138</v>
      </c>
      <c r="B26" s="2" t="s">
        <v>65</v>
      </c>
      <c r="C26" s="2">
        <v>435174</v>
      </c>
      <c r="D26">
        <f t="shared" si="6"/>
        <v>2</v>
      </c>
      <c r="E26">
        <f>IF($C26&gt;0,2,"")</f>
        <v>2</v>
      </c>
      <c r="F26" s="23">
        <v>0.47099999999999997</v>
      </c>
      <c r="G26" s="19">
        <f t="shared" si="1"/>
        <v>343.83</v>
      </c>
      <c r="I26" s="21">
        <f t="shared" si="2"/>
        <v>1375.32</v>
      </c>
      <c r="J26" s="21"/>
      <c r="K26" s="24"/>
      <c r="M26" s="19" t="str">
        <f t="shared" si="0"/>
        <v/>
      </c>
      <c r="N26" s="19"/>
      <c r="O26" s="19" t="str">
        <f t="shared" si="3"/>
        <v/>
      </c>
      <c r="P26" s="19"/>
      <c r="Q26" s="23">
        <v>0.47099999999999997</v>
      </c>
      <c r="R26" s="19">
        <v>343.83</v>
      </c>
      <c r="S26" t="str">
        <f t="shared" si="5"/>
        <v/>
      </c>
    </row>
    <row r="27" spans="1:19" x14ac:dyDescent="0.25">
      <c r="A27" t="s">
        <v>139</v>
      </c>
      <c r="B27" s="2" t="s">
        <v>84</v>
      </c>
      <c r="C27" s="2">
        <v>5212</v>
      </c>
      <c r="D27">
        <f t="shared" si="6"/>
        <v>2</v>
      </c>
      <c r="E27">
        <f>IF($C27&gt;0,2,"")</f>
        <v>2</v>
      </c>
      <c r="F27" s="23">
        <v>0.50800000000000001</v>
      </c>
      <c r="G27" s="19">
        <f t="shared" si="1"/>
        <v>370.84</v>
      </c>
      <c r="I27" s="21">
        <f t="shared" si="2"/>
        <v>1483.36</v>
      </c>
      <c r="J27" s="21"/>
      <c r="K27" s="24"/>
      <c r="M27" s="19" t="str">
        <f t="shared" si="0"/>
        <v/>
      </c>
      <c r="N27" s="19" t="s">
        <v>137</v>
      </c>
      <c r="O27" s="19">
        <f t="shared" si="3"/>
        <v>741.68</v>
      </c>
      <c r="P27" s="19"/>
      <c r="S27" t="str">
        <f t="shared" si="5"/>
        <v/>
      </c>
    </row>
    <row r="28" spans="1:19" x14ac:dyDescent="0.25">
      <c r="A28" t="s">
        <v>140</v>
      </c>
      <c r="B28" s="2" t="s">
        <v>28</v>
      </c>
      <c r="C28" s="2">
        <v>4820485</v>
      </c>
      <c r="D28">
        <f t="shared" si="6"/>
        <v>2</v>
      </c>
      <c r="E28">
        <v>3</v>
      </c>
      <c r="F28" s="23">
        <v>0.48</v>
      </c>
      <c r="G28" s="19">
        <f t="shared" si="1"/>
        <v>350.39999999999992</v>
      </c>
      <c r="I28" s="21">
        <f t="shared" si="2"/>
        <v>1751.9999999999995</v>
      </c>
      <c r="J28" s="21"/>
      <c r="K28" s="24"/>
      <c r="M28" s="19" t="str">
        <f t="shared" si="0"/>
        <v/>
      </c>
      <c r="N28" s="19"/>
      <c r="O28" s="19" t="str">
        <f t="shared" si="3"/>
        <v/>
      </c>
      <c r="P28" s="19"/>
      <c r="S28" t="str">
        <f t="shared" si="5"/>
        <v/>
      </c>
    </row>
    <row r="29" spans="1:19" x14ac:dyDescent="0.25">
      <c r="B29" s="2" t="s">
        <v>34</v>
      </c>
      <c r="C29" s="2">
        <v>1749453</v>
      </c>
      <c r="D29">
        <f t="shared" si="6"/>
        <v>2</v>
      </c>
      <c r="E29">
        <v>3</v>
      </c>
      <c r="F29" s="23">
        <v>0.52800000000000002</v>
      </c>
      <c r="G29" s="19">
        <f t="shared" si="1"/>
        <v>385.44</v>
      </c>
      <c r="I29" s="21">
        <f t="shared" si="2"/>
        <v>1927.2</v>
      </c>
      <c r="J29" s="21"/>
      <c r="K29" s="24"/>
      <c r="M29" s="19" t="str">
        <f t="shared" si="0"/>
        <v/>
      </c>
      <c r="N29" s="19"/>
      <c r="O29" s="19" t="str">
        <f t="shared" si="3"/>
        <v/>
      </c>
      <c r="P29" s="19"/>
      <c r="S29" t="str">
        <f t="shared" si="5"/>
        <v/>
      </c>
    </row>
    <row r="30" spans="1:19" x14ac:dyDescent="0.25">
      <c r="B30" s="2" t="s">
        <v>37</v>
      </c>
      <c r="C30" s="2">
        <v>1622214</v>
      </c>
      <c r="D30">
        <f t="shared" si="6"/>
        <v>2</v>
      </c>
      <c r="E30">
        <v>3</v>
      </c>
      <c r="F30" s="23">
        <v>0.496</v>
      </c>
      <c r="G30" s="19">
        <f t="shared" si="1"/>
        <v>362.08</v>
      </c>
      <c r="I30" s="21">
        <f t="shared" si="2"/>
        <v>1810.3999999999999</v>
      </c>
      <c r="J30" s="21"/>
      <c r="K30" s="24"/>
      <c r="M30" s="19" t="str">
        <f t="shared" si="0"/>
        <v/>
      </c>
      <c r="N30" s="19"/>
      <c r="O30" s="19" t="str">
        <f t="shared" si="3"/>
        <v/>
      </c>
      <c r="P30" s="19"/>
      <c r="S30" t="str">
        <f t="shared" si="5"/>
        <v/>
      </c>
    </row>
    <row r="31" spans="1:19" x14ac:dyDescent="0.25">
      <c r="B31" s="2" t="s">
        <v>40</v>
      </c>
      <c r="C31" s="2">
        <v>1477741</v>
      </c>
      <c r="D31">
        <f t="shared" si="6"/>
        <v>2</v>
      </c>
      <c r="E31">
        <v>3</v>
      </c>
      <c r="F31" s="23">
        <v>0.496</v>
      </c>
      <c r="G31" s="19">
        <f t="shared" si="1"/>
        <v>362.08</v>
      </c>
      <c r="I31" s="21">
        <f t="shared" si="2"/>
        <v>1810.3999999999999</v>
      </c>
      <c r="J31" s="21"/>
      <c r="K31" s="24"/>
      <c r="M31" s="19" t="str">
        <f t="shared" si="0"/>
        <v/>
      </c>
      <c r="N31" s="19"/>
      <c r="O31" s="19" t="str">
        <f t="shared" si="3"/>
        <v/>
      </c>
      <c r="P31" s="19"/>
      <c r="S31" t="str">
        <f t="shared" si="5"/>
        <v/>
      </c>
    </row>
    <row r="32" spans="1:19" x14ac:dyDescent="0.25">
      <c r="B32" s="2" t="s">
        <v>82</v>
      </c>
      <c r="C32" s="2">
        <v>30850</v>
      </c>
      <c r="D32">
        <f t="shared" si="6"/>
        <v>2</v>
      </c>
      <c r="E32">
        <f>IF($C32&gt;0,2,"")</f>
        <v>2</v>
      </c>
      <c r="F32" s="23">
        <v>0.47199999999999998</v>
      </c>
      <c r="G32" s="19">
        <f t="shared" si="1"/>
        <v>344.56</v>
      </c>
      <c r="I32" s="21">
        <f t="shared" si="2"/>
        <v>1378.24</v>
      </c>
      <c r="J32" s="21"/>
      <c r="K32" s="24"/>
      <c r="L32" s="19">
        <v>4.9589999999999996</v>
      </c>
      <c r="M32" s="19">
        <f t="shared" si="0"/>
        <v>3620.0699999999997</v>
      </c>
      <c r="N32" s="19"/>
      <c r="O32" s="19">
        <f t="shared" si="3"/>
        <v>3620.0699999999997</v>
      </c>
      <c r="P32" s="19"/>
      <c r="S32" t="str">
        <f t="shared" si="5"/>
        <v/>
      </c>
    </row>
    <row r="33" spans="1:19" x14ac:dyDescent="0.25">
      <c r="A33" t="s">
        <v>141</v>
      </c>
      <c r="B33" s="2" t="s">
        <v>48</v>
      </c>
      <c r="C33" s="2">
        <v>1104110</v>
      </c>
      <c r="D33">
        <f t="shared" si="6"/>
        <v>2</v>
      </c>
      <c r="E33">
        <f>IF($C33&gt;0,2,"")</f>
        <v>2</v>
      </c>
      <c r="F33" s="23">
        <v>0.246</v>
      </c>
      <c r="G33" s="19">
        <f t="shared" si="1"/>
        <v>179.58</v>
      </c>
      <c r="H33" s="19"/>
      <c r="I33" s="21">
        <f t="shared" si="2"/>
        <v>718.32</v>
      </c>
      <c r="J33" s="21"/>
      <c r="K33" s="24"/>
      <c r="M33" s="19" t="str">
        <f t="shared" si="0"/>
        <v/>
      </c>
      <c r="N33" s="19" t="s">
        <v>137</v>
      </c>
      <c r="O33" s="19">
        <f t="shared" si="3"/>
        <v>359.16</v>
      </c>
      <c r="P33" s="19"/>
      <c r="S33" t="str">
        <f t="shared" si="5"/>
        <v/>
      </c>
    </row>
    <row r="34" spans="1:19" x14ac:dyDescent="0.25">
      <c r="B34" s="2" t="s">
        <v>54</v>
      </c>
      <c r="C34" s="2">
        <v>741165</v>
      </c>
      <c r="D34">
        <f t="shared" si="6"/>
        <v>2</v>
      </c>
      <c r="E34">
        <f>IF($C34&gt;0,2,"")</f>
        <v>2</v>
      </c>
      <c r="F34" s="23">
        <v>0.54100000000000004</v>
      </c>
      <c r="G34" s="19">
        <f t="shared" si="1"/>
        <v>394.93</v>
      </c>
      <c r="I34" s="21">
        <f t="shared" si="2"/>
        <v>1579.72</v>
      </c>
      <c r="J34" s="21"/>
      <c r="K34" s="24"/>
      <c r="M34" s="19" t="str">
        <f t="shared" si="0"/>
        <v/>
      </c>
      <c r="N34" s="19" t="s">
        <v>137</v>
      </c>
      <c r="O34" s="19">
        <f t="shared" si="3"/>
        <v>789.86</v>
      </c>
      <c r="P34" s="19"/>
      <c r="S34" t="str">
        <f t="shared" si="5"/>
        <v/>
      </c>
    </row>
    <row r="35" spans="1:19" x14ac:dyDescent="0.25">
      <c r="A35" t="s">
        <v>142</v>
      </c>
      <c r="B35" s="2" t="s">
        <v>45</v>
      </c>
      <c r="C35" s="2">
        <v>1187177</v>
      </c>
      <c r="D35">
        <f t="shared" si="6"/>
        <v>2</v>
      </c>
      <c r="E35">
        <f>IF($C35&gt;0,2,"")</f>
        <v>2</v>
      </c>
      <c r="F35" s="23">
        <v>0.61199999999999999</v>
      </c>
      <c r="G35" s="19">
        <f t="shared" si="1"/>
        <v>446.76</v>
      </c>
      <c r="I35" s="21">
        <f t="shared" si="2"/>
        <v>1787.04</v>
      </c>
      <c r="J35" s="21"/>
      <c r="K35" s="24"/>
      <c r="M35" s="19" t="str">
        <f t="shared" si="0"/>
        <v/>
      </c>
      <c r="N35" s="19" t="s">
        <v>137</v>
      </c>
      <c r="O35" s="19">
        <f t="shared" si="3"/>
        <v>893.52</v>
      </c>
      <c r="P35" s="19"/>
      <c r="S35" t="str">
        <f t="shared" si="5"/>
        <v/>
      </c>
    </row>
    <row r="36" spans="1:19" x14ac:dyDescent="0.25">
      <c r="A36" t="s">
        <v>143</v>
      </c>
      <c r="B36" s="2" t="s">
        <v>57</v>
      </c>
      <c r="C36" s="2">
        <v>629032</v>
      </c>
      <c r="D36">
        <f t="shared" si="6"/>
        <v>2</v>
      </c>
      <c r="E36">
        <v>3</v>
      </c>
      <c r="F36" s="23">
        <v>0.48</v>
      </c>
      <c r="G36" s="19">
        <f t="shared" si="1"/>
        <v>350.39999999999992</v>
      </c>
      <c r="I36" s="21">
        <f t="shared" si="2"/>
        <v>1751.9999999999995</v>
      </c>
      <c r="J36" s="21"/>
      <c r="K36" s="24"/>
      <c r="M36" s="19" t="str">
        <f t="shared" si="0"/>
        <v/>
      </c>
      <c r="N36" s="19" t="s">
        <v>137</v>
      </c>
      <c r="O36" s="19">
        <f t="shared" si="3"/>
        <v>1051.1999999999998</v>
      </c>
      <c r="P36" s="19"/>
      <c r="S36" t="str">
        <f t="shared" si="5"/>
        <v/>
      </c>
    </row>
    <row r="37" spans="1:19" x14ac:dyDescent="0.25">
      <c r="B37" s="2" t="s">
        <v>64</v>
      </c>
      <c r="C37" s="2">
        <v>518656</v>
      </c>
      <c r="D37">
        <f t="shared" si="6"/>
        <v>2</v>
      </c>
      <c r="E37">
        <v>3</v>
      </c>
      <c r="F37" s="23">
        <v>0.499</v>
      </c>
      <c r="G37" s="19">
        <f t="shared" si="1"/>
        <v>364.27</v>
      </c>
      <c r="I37" s="21">
        <f t="shared" si="2"/>
        <v>1821.35</v>
      </c>
      <c r="J37" s="21"/>
      <c r="K37" s="24"/>
      <c r="M37" s="19" t="str">
        <f t="shared" si="0"/>
        <v/>
      </c>
      <c r="N37" s="19" t="s">
        <v>137</v>
      </c>
      <c r="O37" s="19">
        <f t="shared" si="3"/>
        <v>1092.81</v>
      </c>
      <c r="P37" s="19"/>
      <c r="Q37" s="23">
        <v>0.499</v>
      </c>
      <c r="R37" s="19">
        <v>364.27</v>
      </c>
      <c r="S37" t="str">
        <f t="shared" si="5"/>
        <v/>
      </c>
    </row>
    <row r="38" spans="1:19" x14ac:dyDescent="0.25">
      <c r="I38" s="21" t="str">
        <f>IF($G38&gt;0,$E30*$G38,"")</f>
        <v/>
      </c>
      <c r="J38" s="21"/>
      <c r="K38" s="24"/>
      <c r="M38" s="19" t="str">
        <f t="shared" si="0"/>
        <v/>
      </c>
      <c r="N38" s="19"/>
      <c r="O38" s="19" t="str">
        <f t="shared" si="3"/>
        <v/>
      </c>
      <c r="P38" s="19"/>
    </row>
    <row r="39" spans="1:19" x14ac:dyDescent="0.25">
      <c r="A39" t="s">
        <v>144</v>
      </c>
      <c r="I39" s="21"/>
      <c r="J39" s="21"/>
      <c r="K39" s="24"/>
      <c r="M39" s="19" t="str">
        <f t="shared" si="0"/>
        <v/>
      </c>
      <c r="N39" s="19"/>
      <c r="O39" s="19" t="str">
        <f t="shared" si="3"/>
        <v/>
      </c>
      <c r="P39" s="19"/>
    </row>
    <row r="40" spans="1:19" x14ac:dyDescent="0.25">
      <c r="A40" t="s">
        <v>145</v>
      </c>
      <c r="I40" s="21" t="str">
        <f>IF($G40&gt;0,$E31*$G40,"")</f>
        <v/>
      </c>
      <c r="J40" s="21"/>
      <c r="K40" s="24"/>
      <c r="M40" s="19" t="str">
        <f t="shared" si="0"/>
        <v/>
      </c>
      <c r="N40" s="19"/>
      <c r="O40" s="19" t="str">
        <f t="shared" si="3"/>
        <v/>
      </c>
      <c r="P40" s="19"/>
    </row>
    <row r="41" spans="1:19" x14ac:dyDescent="0.25">
      <c r="B41" t="s">
        <v>81</v>
      </c>
      <c r="I41" s="21"/>
      <c r="J41" s="21"/>
      <c r="K41" s="24">
        <v>2</v>
      </c>
      <c r="L41" s="23">
        <v>4.7750000000000004</v>
      </c>
      <c r="M41" s="19">
        <f t="shared" si="0"/>
        <v>3485.7500000000005</v>
      </c>
      <c r="N41" s="19"/>
      <c r="O41" s="19">
        <f t="shared" si="3"/>
        <v>3485.7500000000005</v>
      </c>
      <c r="P41" s="19"/>
    </row>
    <row r="42" spans="1:19" x14ac:dyDescent="0.25">
      <c r="I42" s="21"/>
      <c r="J42" s="21"/>
      <c r="K42" s="21"/>
    </row>
    <row r="43" spans="1:19" x14ac:dyDescent="0.25">
      <c r="D43" s="24">
        <f t="shared" ref="D43:E43" si="8">SUM(D10:D42)</f>
        <v>60</v>
      </c>
      <c r="E43" s="24">
        <f t="shared" si="8"/>
        <v>72</v>
      </c>
      <c r="I43" s="21">
        <f>SUM(I10:I42)</f>
        <v>46917.83</v>
      </c>
      <c r="J43" s="21"/>
      <c r="K43" s="21"/>
      <c r="M43" s="21"/>
      <c r="N43" s="21"/>
      <c r="O43" s="21">
        <f>SUM(O10:O42)</f>
        <v>16366.6</v>
      </c>
      <c r="P43" s="21"/>
    </row>
    <row r="44" spans="1:19" x14ac:dyDescent="0.25">
      <c r="B44" s="2"/>
      <c r="C44" s="2"/>
      <c r="I44" s="21" t="str">
        <f>IF($G44&gt;0,$E44*$G44,"")</f>
        <v/>
      </c>
      <c r="J44" s="21"/>
      <c r="K44" s="21"/>
    </row>
    <row r="45" spans="1:19" x14ac:dyDescent="0.25">
      <c r="I45" s="21" t="str">
        <f>IF($G45&gt;0,$E33*$G45,"")</f>
        <v/>
      </c>
      <c r="J45" s="21"/>
      <c r="K45" s="21"/>
    </row>
    <row r="46" spans="1:19" x14ac:dyDescent="0.25">
      <c r="I46" s="21" t="str">
        <f>IF($G46&gt;0,$E34*$G46,"")</f>
        <v/>
      </c>
      <c r="J46" s="21"/>
      <c r="K46" s="21"/>
    </row>
    <row r="47" spans="1:19" x14ac:dyDescent="0.25">
      <c r="B47" s="2"/>
      <c r="C47" s="2"/>
      <c r="D47" t="str">
        <f t="shared" ref="D47:D51" si="9">IF($C47&gt;0,2,"")</f>
        <v/>
      </c>
      <c r="E47" t="str">
        <f t="shared" ref="E47:E51" si="10">IF($C47&gt;0,2,"")</f>
        <v/>
      </c>
      <c r="I47" s="21" t="str">
        <f>IF($G47&gt;0,$E47*$G47,"")</f>
        <v/>
      </c>
      <c r="J47" s="21"/>
      <c r="K47" s="21"/>
    </row>
    <row r="48" spans="1:19" x14ac:dyDescent="0.25">
      <c r="I48" s="21"/>
      <c r="J48" s="21"/>
      <c r="K48" s="21"/>
    </row>
    <row r="49" spans="4:11" x14ac:dyDescent="0.25">
      <c r="D49" t="str">
        <f t="shared" si="9"/>
        <v/>
      </c>
      <c r="E49" t="str">
        <f t="shared" si="10"/>
        <v/>
      </c>
      <c r="I49" s="21" t="str">
        <f>IF($G49&gt;0,$E49*$G49,"")</f>
        <v/>
      </c>
      <c r="J49" s="21"/>
      <c r="K49" s="21"/>
    </row>
    <row r="50" spans="4:11" x14ac:dyDescent="0.25">
      <c r="D50" t="str">
        <f t="shared" si="9"/>
        <v/>
      </c>
      <c r="E50" t="str">
        <f t="shared" si="10"/>
        <v/>
      </c>
      <c r="I50" s="21" t="str">
        <f>IF($G50&gt;0,$E50*$G50,"")</f>
        <v/>
      </c>
      <c r="J50" s="21"/>
      <c r="K50" s="21"/>
    </row>
    <row r="51" spans="4:11" x14ac:dyDescent="0.25">
      <c r="D51" t="str">
        <f t="shared" si="9"/>
        <v/>
      </c>
      <c r="E51" t="str">
        <f t="shared" si="10"/>
        <v/>
      </c>
      <c r="I51" s="21" t="str">
        <f>IF($G51&gt;0,$E51*$G51,"")</f>
        <v/>
      </c>
      <c r="J51" s="21"/>
      <c r="K51" s="21"/>
    </row>
    <row r="52" spans="4:11" x14ac:dyDescent="0.25">
      <c r="I52" s="21" t="str">
        <f>IF($G52&gt;0,$E36*$G52,"")</f>
        <v/>
      </c>
      <c r="J52" s="21"/>
      <c r="K52" s="21"/>
    </row>
    <row r="53" spans="4:11" x14ac:dyDescent="0.25">
      <c r="I53" s="21" t="str">
        <f>IF($G53&gt;0,$E37*$G53,"")</f>
        <v/>
      </c>
      <c r="J53" s="21"/>
      <c r="K53" s="21"/>
    </row>
    <row r="56" spans="4:11" x14ac:dyDescent="0.25">
      <c r="I56" s="22">
        <f>SUM(I10:I54)</f>
        <v>93835.66</v>
      </c>
      <c r="J56" s="22"/>
      <c r="K56" s="22"/>
    </row>
  </sheetData>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A256-EC08-504C-B8C1-A38CA3E93235}">
  <dimension ref="A1:O35"/>
  <sheetViews>
    <sheetView topLeftCell="B4" zoomScale="167" zoomScaleNormal="167" workbookViewId="0">
      <selection activeCell="J10" sqref="J10"/>
    </sheetView>
  </sheetViews>
  <sheetFormatPr defaultColWidth="11" defaultRowHeight="15.75" x14ac:dyDescent="0.25"/>
  <cols>
    <col min="1" max="1" width="16.625" customWidth="1"/>
    <col min="8" max="9" width="15" customWidth="1"/>
    <col min="10" max="10" width="24.875" customWidth="1"/>
    <col min="11" max="11" width="13.625" bestFit="1" customWidth="1"/>
    <col min="12" max="13" width="16.5" customWidth="1"/>
    <col min="14" max="14" width="13" bestFit="1" customWidth="1"/>
  </cols>
  <sheetData>
    <row r="1" spans="1:15" x14ac:dyDescent="0.25">
      <c r="H1" t="s">
        <v>146</v>
      </c>
      <c r="J1">
        <v>10</v>
      </c>
    </row>
    <row r="2" spans="1:15" x14ac:dyDescent="0.25">
      <c r="A2" s="2"/>
      <c r="B2" s="2"/>
      <c r="C2" s="2"/>
      <c r="D2" s="2"/>
      <c r="E2" s="2"/>
      <c r="H2" t="s">
        <v>147</v>
      </c>
      <c r="J2">
        <v>853</v>
      </c>
    </row>
    <row r="3" spans="1:15" x14ac:dyDescent="0.25">
      <c r="A3" s="2"/>
      <c r="B3" s="2"/>
      <c r="C3" s="2"/>
      <c r="D3" s="2"/>
      <c r="E3" s="2"/>
      <c r="H3" t="s">
        <v>148</v>
      </c>
      <c r="J3">
        <v>3</v>
      </c>
    </row>
    <row r="4" spans="1:15" x14ac:dyDescent="0.25">
      <c r="A4" s="2"/>
      <c r="B4" s="2"/>
      <c r="C4" s="2"/>
      <c r="D4" s="2"/>
      <c r="E4" s="2"/>
    </row>
    <row r="5" spans="1:15" x14ac:dyDescent="0.25">
      <c r="A5" s="2"/>
      <c r="B5" s="2"/>
      <c r="C5" s="2"/>
      <c r="D5" s="2"/>
      <c r="E5" s="2"/>
    </row>
    <row r="6" spans="1:15" x14ac:dyDescent="0.25">
      <c r="A6" s="2"/>
      <c r="B6" s="2"/>
      <c r="C6" s="2"/>
      <c r="D6" s="2"/>
      <c r="E6" s="2"/>
    </row>
    <row r="7" spans="1:15" x14ac:dyDescent="0.25">
      <c r="A7" s="3" t="s">
        <v>149</v>
      </c>
      <c r="B7" s="4" t="s">
        <v>150</v>
      </c>
      <c r="C7" s="5" t="s">
        <v>151</v>
      </c>
      <c r="D7" s="6" t="s">
        <v>152</v>
      </c>
      <c r="E7" s="6" t="s">
        <v>153</v>
      </c>
      <c r="H7" s="13" t="s">
        <v>4</v>
      </c>
      <c r="I7" s="13" t="s">
        <v>154</v>
      </c>
      <c r="J7" s="13" t="s">
        <v>155</v>
      </c>
      <c r="K7" t="s">
        <v>156</v>
      </c>
      <c r="L7" s="13" t="s">
        <v>157</v>
      </c>
      <c r="M7" s="13" t="s">
        <v>158</v>
      </c>
      <c r="N7" s="13" t="s">
        <v>159</v>
      </c>
    </row>
    <row r="8" spans="1:15" x14ac:dyDescent="0.25">
      <c r="A8" s="7" t="s">
        <v>160</v>
      </c>
      <c r="B8" s="8">
        <v>853</v>
      </c>
      <c r="C8" s="8">
        <v>310</v>
      </c>
      <c r="D8" s="8">
        <v>264430</v>
      </c>
      <c r="E8" s="25">
        <v>88143.333329999994</v>
      </c>
      <c r="H8" s="1" t="s">
        <v>15</v>
      </c>
      <c r="I8" s="1"/>
      <c r="J8" s="15">
        <v>35096021</v>
      </c>
      <c r="K8" s="16" t="str">
        <f>IFERROR(VLOOKUP(I8,$A$8:$E$17,5),"")</f>
        <v/>
      </c>
      <c r="L8" s="14" t="str">
        <f t="shared" ref="L8" si="0">IFERROR(J8/K8,"")</f>
        <v/>
      </c>
      <c r="M8" s="14">
        <f>J8*$J$2/$J$3/30/24/3600</f>
        <v>3849.9107398405345</v>
      </c>
      <c r="N8" s="29">
        <f>J8/$J$1</f>
        <v>3509602.1</v>
      </c>
    </row>
    <row r="9" spans="1:15" x14ac:dyDescent="0.25">
      <c r="A9" s="9" t="s">
        <v>161</v>
      </c>
      <c r="B9" s="2">
        <v>853</v>
      </c>
      <c r="C9" s="2">
        <v>574</v>
      </c>
      <c r="D9" s="2">
        <v>489622</v>
      </c>
      <c r="E9" s="26">
        <v>163207.3333</v>
      </c>
      <c r="H9" s="2" t="s">
        <v>18</v>
      </c>
      <c r="I9" s="2" t="s">
        <v>162</v>
      </c>
      <c r="J9" s="17">
        <v>24047740</v>
      </c>
      <c r="K9" s="16">
        <f t="shared" ref="K9:K35" si="1">IFERROR(VLOOKUP(I9,$A$8:$E$17,5),"")</f>
        <v>64259.333330000001</v>
      </c>
      <c r="L9" s="14">
        <f>IFERROR(J9/K9,"")</f>
        <v>374.22952828508591</v>
      </c>
      <c r="M9" s="14">
        <f t="shared" ref="M9:M35" si="2">J9*$J$2/$J$3/30/24/3600</f>
        <v>2637.9529603909464</v>
      </c>
      <c r="O9">
        <f>LOG(J9)</f>
        <v>7.3810742677514947</v>
      </c>
    </row>
    <row r="10" spans="1:15" x14ac:dyDescent="0.25">
      <c r="A10" s="7" t="s">
        <v>163</v>
      </c>
      <c r="B10" s="8">
        <v>853</v>
      </c>
      <c r="C10" s="8">
        <v>135</v>
      </c>
      <c r="D10" s="8">
        <v>115155</v>
      </c>
      <c r="E10" s="25">
        <v>38385</v>
      </c>
      <c r="H10" s="1" t="s">
        <v>135</v>
      </c>
      <c r="I10" s="1"/>
      <c r="J10" s="15">
        <v>10606135</v>
      </c>
      <c r="K10" s="16" t="str">
        <f t="shared" si="1"/>
        <v/>
      </c>
      <c r="L10" s="14" t="str">
        <f t="shared" ref="L10:L35" si="3">IFERROR(J10/K10,"")</f>
        <v/>
      </c>
      <c r="M10" s="14">
        <f t="shared" si="2"/>
        <v>1163.455909850823</v>
      </c>
    </row>
    <row r="11" spans="1:15" x14ac:dyDescent="0.25">
      <c r="A11" s="9" t="s">
        <v>164</v>
      </c>
      <c r="B11" s="2">
        <v>853</v>
      </c>
      <c r="C11" s="2">
        <v>518</v>
      </c>
      <c r="D11" s="2">
        <v>441854</v>
      </c>
      <c r="E11" s="26">
        <v>147284.6667</v>
      </c>
      <c r="H11" s="2" t="s">
        <v>25</v>
      </c>
      <c r="I11" s="2"/>
      <c r="J11" s="17">
        <v>9238966</v>
      </c>
      <c r="K11" s="16" t="str">
        <f t="shared" si="1"/>
        <v/>
      </c>
      <c r="L11" s="14" t="str">
        <f t="shared" si="3"/>
        <v/>
      </c>
      <c r="M11" s="14">
        <f t="shared" si="2"/>
        <v>1013.4822528292182</v>
      </c>
    </row>
    <row r="12" spans="1:15" x14ac:dyDescent="0.25">
      <c r="A12" s="7" t="s">
        <v>165</v>
      </c>
      <c r="B12" s="8">
        <v>853</v>
      </c>
      <c r="C12" s="8">
        <v>528</v>
      </c>
      <c r="D12" s="8">
        <v>450384</v>
      </c>
      <c r="E12" s="25">
        <v>150128</v>
      </c>
      <c r="H12" s="1" t="s">
        <v>28</v>
      </c>
      <c r="I12" s="1"/>
      <c r="J12" s="15">
        <v>4820485</v>
      </c>
      <c r="K12" s="16" t="str">
        <f t="shared" si="1"/>
        <v/>
      </c>
      <c r="L12" s="14" t="str">
        <f t="shared" si="3"/>
        <v/>
      </c>
      <c r="M12" s="14">
        <f t="shared" si="2"/>
        <v>528.7903427211935</v>
      </c>
    </row>
    <row r="13" spans="1:15" x14ac:dyDescent="0.25">
      <c r="A13" s="9" t="s">
        <v>166</v>
      </c>
      <c r="B13" s="2">
        <v>853</v>
      </c>
      <c r="C13" s="2">
        <v>193</v>
      </c>
      <c r="D13" s="2">
        <v>164629</v>
      </c>
      <c r="E13" s="26">
        <v>54876.333330000001</v>
      </c>
      <c r="H13" s="2" t="s">
        <v>31</v>
      </c>
      <c r="I13" s="2" t="s">
        <v>167</v>
      </c>
      <c r="J13" s="17">
        <v>3996391</v>
      </c>
      <c r="K13" s="16">
        <f t="shared" si="1"/>
        <v>135058.3333</v>
      </c>
      <c r="L13" s="14">
        <f t="shared" si="3"/>
        <v>29.590110453406581</v>
      </c>
      <c r="M13" s="14">
        <f t="shared" si="2"/>
        <v>438.39011355452675</v>
      </c>
    </row>
    <row r="14" spans="1:15" x14ac:dyDescent="0.25">
      <c r="A14" s="10" t="s">
        <v>168</v>
      </c>
      <c r="B14" s="11">
        <v>853</v>
      </c>
      <c r="C14" s="11">
        <v>41</v>
      </c>
      <c r="D14" s="11">
        <v>34973</v>
      </c>
      <c r="E14" s="27">
        <v>11657.666670000001</v>
      </c>
      <c r="H14" s="1" t="s">
        <v>34</v>
      </c>
      <c r="I14" s="1" t="s">
        <v>164</v>
      </c>
      <c r="J14" s="15">
        <v>1749453</v>
      </c>
      <c r="K14" s="16">
        <f t="shared" si="1"/>
        <v>147284.6667</v>
      </c>
      <c r="L14" s="14">
        <f t="shared" si="3"/>
        <v>11.878038897038833</v>
      </c>
      <c r="M14" s="14">
        <f t="shared" si="2"/>
        <v>191.90887461419754</v>
      </c>
    </row>
    <row r="15" spans="1:15" x14ac:dyDescent="0.25">
      <c r="A15" s="9" t="s">
        <v>169</v>
      </c>
      <c r="B15" s="2">
        <v>853</v>
      </c>
      <c r="C15" s="2">
        <v>235</v>
      </c>
      <c r="D15" s="2">
        <v>200455</v>
      </c>
      <c r="E15" s="26">
        <v>66818.333329999994</v>
      </c>
      <c r="H15" s="2" t="s">
        <v>37</v>
      </c>
      <c r="I15" s="2" t="s">
        <v>166</v>
      </c>
      <c r="J15" s="17">
        <v>1622214</v>
      </c>
      <c r="K15" s="16">
        <f t="shared" si="1"/>
        <v>54876.333330000001</v>
      </c>
      <c r="L15" s="14">
        <f t="shared" si="3"/>
        <v>29.561268065138051</v>
      </c>
      <c r="M15" s="14">
        <f t="shared" si="2"/>
        <v>177.9512013888889</v>
      </c>
    </row>
    <row r="16" spans="1:15" x14ac:dyDescent="0.25">
      <c r="A16" s="7" t="s">
        <v>167</v>
      </c>
      <c r="B16" s="8">
        <v>853</v>
      </c>
      <c r="C16" s="8">
        <v>475</v>
      </c>
      <c r="D16" s="8">
        <v>405175</v>
      </c>
      <c r="E16" s="25">
        <v>135058.3333</v>
      </c>
      <c r="H16" s="1" t="s">
        <v>40</v>
      </c>
      <c r="I16" s="1"/>
      <c r="J16" s="15">
        <v>1477741</v>
      </c>
      <c r="K16" s="16" t="str">
        <f t="shared" si="1"/>
        <v/>
      </c>
      <c r="L16" s="14" t="str">
        <f t="shared" si="3"/>
        <v/>
      </c>
      <c r="M16" s="14">
        <f t="shared" si="2"/>
        <v>162.10301864711934</v>
      </c>
    </row>
    <row r="17" spans="1:13" x14ac:dyDescent="0.25">
      <c r="A17" s="12" t="s">
        <v>162</v>
      </c>
      <c r="B17" s="2">
        <v>853</v>
      </c>
      <c r="C17" s="2">
        <v>226</v>
      </c>
      <c r="D17" s="2">
        <v>192778</v>
      </c>
      <c r="E17" s="26">
        <v>64259.333330000001</v>
      </c>
      <c r="H17" s="2" t="s">
        <v>42</v>
      </c>
      <c r="I17" s="2"/>
      <c r="J17" s="17">
        <v>1310934</v>
      </c>
      <c r="K17" s="16" t="str">
        <f t="shared" si="1"/>
        <v/>
      </c>
      <c r="L17" s="14" t="str">
        <f t="shared" si="3"/>
        <v/>
      </c>
      <c r="M17" s="14">
        <f t="shared" si="2"/>
        <v>143.80487422839505</v>
      </c>
    </row>
    <row r="18" spans="1:13" x14ac:dyDescent="0.25">
      <c r="H18" s="1" t="s">
        <v>45</v>
      </c>
      <c r="I18" s="1" t="s">
        <v>169</v>
      </c>
      <c r="J18" s="15">
        <v>1187177</v>
      </c>
      <c r="K18" s="16">
        <f t="shared" si="1"/>
        <v>66818.333329999994</v>
      </c>
      <c r="L18" s="14">
        <f t="shared" si="3"/>
        <v>17.767234542304621</v>
      </c>
      <c r="M18" s="14">
        <f t="shared" si="2"/>
        <v>130.22916422325105</v>
      </c>
    </row>
    <row r="19" spans="1:13" x14ac:dyDescent="0.25">
      <c r="H19" s="2" t="s">
        <v>48</v>
      </c>
      <c r="I19" s="2" t="s">
        <v>161</v>
      </c>
      <c r="J19" s="17">
        <v>1104110</v>
      </c>
      <c r="K19" s="16">
        <f t="shared" si="1"/>
        <v>163207.3333</v>
      </c>
      <c r="L19" s="14">
        <f t="shared" si="3"/>
        <v>6.7650759170880956</v>
      </c>
      <c r="M19" s="14">
        <f t="shared" si="2"/>
        <v>121.11700488683127</v>
      </c>
    </row>
    <row r="20" spans="1:13" x14ac:dyDescent="0.25">
      <c r="H20" s="1" t="s">
        <v>51</v>
      </c>
      <c r="I20" s="1" t="s">
        <v>160</v>
      </c>
      <c r="J20" s="15">
        <v>946247</v>
      </c>
      <c r="K20" s="16">
        <f t="shared" si="1"/>
        <v>88143.333329999994</v>
      </c>
      <c r="L20" s="14">
        <f t="shared" si="3"/>
        <v>10.735321257449433</v>
      </c>
      <c r="M20" s="14">
        <f t="shared" si="2"/>
        <v>103.79998598251031</v>
      </c>
    </row>
    <row r="21" spans="1:13" x14ac:dyDescent="0.25">
      <c r="H21" s="2" t="s">
        <v>54</v>
      </c>
      <c r="I21" s="2"/>
      <c r="J21" s="17">
        <v>741165</v>
      </c>
      <c r="K21" s="16" t="str">
        <f t="shared" si="1"/>
        <v/>
      </c>
      <c r="L21" s="14" t="str">
        <f t="shared" si="3"/>
        <v/>
      </c>
      <c r="M21" s="14">
        <f t="shared" si="2"/>
        <v>81.303207947530865</v>
      </c>
    </row>
    <row r="22" spans="1:13" x14ac:dyDescent="0.25">
      <c r="H22" s="1" t="s">
        <v>57</v>
      </c>
      <c r="I22" s="1" t="s">
        <v>165</v>
      </c>
      <c r="J22" s="15">
        <v>629032</v>
      </c>
      <c r="K22" s="16">
        <f t="shared" si="1"/>
        <v>150128</v>
      </c>
      <c r="L22" s="14">
        <f t="shared" si="3"/>
        <v>4.1899712245550464</v>
      </c>
      <c r="M22" s="14">
        <f t="shared" si="2"/>
        <v>69.002610082304528</v>
      </c>
    </row>
    <row r="23" spans="1:13" x14ac:dyDescent="0.25">
      <c r="H23" s="2" t="s">
        <v>60</v>
      </c>
      <c r="I23" s="2"/>
      <c r="J23" s="17">
        <v>543993</v>
      </c>
      <c r="K23" s="16" t="str">
        <f t="shared" si="1"/>
        <v/>
      </c>
      <c r="L23" s="14" t="str">
        <f t="shared" si="3"/>
        <v/>
      </c>
      <c r="M23" s="14">
        <f t="shared" si="2"/>
        <v>59.67412924382716</v>
      </c>
    </row>
    <row r="24" spans="1:13" x14ac:dyDescent="0.25">
      <c r="H24" s="1" t="s">
        <v>64</v>
      </c>
      <c r="I24" s="1"/>
      <c r="J24" s="15">
        <v>518656</v>
      </c>
      <c r="K24" s="16" t="str">
        <f t="shared" si="1"/>
        <v/>
      </c>
      <c r="L24" s="14" t="str">
        <f t="shared" si="3"/>
        <v/>
      </c>
      <c r="M24" s="14">
        <f t="shared" si="2"/>
        <v>56.894748971193422</v>
      </c>
    </row>
    <row r="25" spans="1:13" x14ac:dyDescent="0.25">
      <c r="H25" s="2" t="s">
        <v>65</v>
      </c>
      <c r="I25" s="2"/>
      <c r="J25" s="17">
        <v>435174</v>
      </c>
      <c r="K25" s="16" t="str">
        <f t="shared" si="1"/>
        <v/>
      </c>
      <c r="L25" s="14" t="str">
        <f t="shared" si="3"/>
        <v/>
      </c>
      <c r="M25" s="14">
        <f t="shared" si="2"/>
        <v>47.737065586419753</v>
      </c>
    </row>
    <row r="26" spans="1:13" x14ac:dyDescent="0.25">
      <c r="H26" s="1" t="s">
        <v>66</v>
      </c>
      <c r="I26" s="1"/>
      <c r="J26" s="15">
        <v>378330</v>
      </c>
      <c r="K26" s="16" t="str">
        <f t="shared" si="1"/>
        <v/>
      </c>
      <c r="L26" s="14" t="str">
        <f t="shared" si="3"/>
        <v/>
      </c>
      <c r="M26" s="14">
        <f t="shared" si="2"/>
        <v>41.501477623456786</v>
      </c>
    </row>
    <row r="27" spans="1:13" x14ac:dyDescent="0.25">
      <c r="H27" s="2" t="s">
        <v>68</v>
      </c>
      <c r="I27" s="2"/>
      <c r="J27" s="17">
        <v>172078</v>
      </c>
      <c r="K27" s="16" t="str">
        <f t="shared" si="1"/>
        <v/>
      </c>
      <c r="L27" s="14" t="str">
        <f t="shared" si="3"/>
        <v/>
      </c>
      <c r="M27" s="14">
        <f t="shared" si="2"/>
        <v>18.876354681069962</v>
      </c>
    </row>
    <row r="28" spans="1:13" x14ac:dyDescent="0.25">
      <c r="H28" s="1" t="s">
        <v>70</v>
      </c>
      <c r="I28" s="1" t="s">
        <v>168</v>
      </c>
      <c r="J28" s="15">
        <v>154445</v>
      </c>
      <c r="K28" s="16">
        <f t="shared" si="1"/>
        <v>11657.666670000001</v>
      </c>
      <c r="L28" s="14">
        <f t="shared" si="3"/>
        <v>13.248363019115214</v>
      </c>
      <c r="M28" s="14">
        <f t="shared" si="2"/>
        <v>16.942076260288065</v>
      </c>
    </row>
    <row r="29" spans="1:13" x14ac:dyDescent="0.25">
      <c r="H29" s="2" t="s">
        <v>71</v>
      </c>
      <c r="I29" s="2"/>
      <c r="J29" s="17">
        <v>148190</v>
      </c>
      <c r="K29" s="16" t="str">
        <f t="shared" si="1"/>
        <v/>
      </c>
      <c r="L29" s="14" t="str">
        <f t="shared" si="3"/>
        <v/>
      </c>
      <c r="M29" s="14">
        <f t="shared" si="2"/>
        <v>16.255924639917694</v>
      </c>
    </row>
    <row r="30" spans="1:13" x14ac:dyDescent="0.25">
      <c r="H30" s="1" t="s">
        <v>79</v>
      </c>
      <c r="I30" s="1"/>
      <c r="J30" s="15">
        <v>145881</v>
      </c>
      <c r="K30" s="16" t="str">
        <f t="shared" si="1"/>
        <v/>
      </c>
      <c r="L30" s="14" t="str">
        <f t="shared" si="3"/>
        <v/>
      </c>
      <c r="M30" s="14">
        <f t="shared" si="2"/>
        <v>16.002635416666667</v>
      </c>
    </row>
    <row r="31" spans="1:13" x14ac:dyDescent="0.25">
      <c r="H31" s="2" t="s">
        <v>80</v>
      </c>
      <c r="I31" s="2"/>
      <c r="J31" s="17">
        <v>70303</v>
      </c>
      <c r="K31" s="16" t="str">
        <f t="shared" si="1"/>
        <v/>
      </c>
      <c r="L31" s="14" t="str">
        <f t="shared" si="3"/>
        <v/>
      </c>
      <c r="M31" s="14">
        <f t="shared" si="2"/>
        <v>7.7119931841563778</v>
      </c>
    </row>
    <row r="32" spans="1:13" x14ac:dyDescent="0.25">
      <c r="H32" s="1" t="s">
        <v>82</v>
      </c>
      <c r="I32" s="1" t="s">
        <v>163</v>
      </c>
      <c r="J32" s="15">
        <v>30850</v>
      </c>
      <c r="K32" s="16">
        <f t="shared" si="1"/>
        <v>38385</v>
      </c>
      <c r="L32" s="14">
        <f t="shared" si="3"/>
        <v>0.80369936172984235</v>
      </c>
      <c r="M32" s="14">
        <f t="shared" si="2"/>
        <v>3.3841370884773663</v>
      </c>
    </row>
    <row r="33" spans="8:13" x14ac:dyDescent="0.25">
      <c r="H33" s="2" t="s">
        <v>83</v>
      </c>
      <c r="I33" s="2"/>
      <c r="J33" s="17">
        <v>15839</v>
      </c>
      <c r="K33" s="16" t="str">
        <f t="shared" si="1"/>
        <v/>
      </c>
      <c r="L33" s="14" t="str">
        <f t="shared" si="3"/>
        <v/>
      </c>
      <c r="M33" s="14">
        <f t="shared" si="2"/>
        <v>1.7374828960905353</v>
      </c>
    </row>
    <row r="34" spans="8:13" x14ac:dyDescent="0.25">
      <c r="H34" s="1" t="s">
        <v>84</v>
      </c>
      <c r="I34" s="1"/>
      <c r="J34" s="15">
        <v>5212</v>
      </c>
      <c r="K34" s="16" t="str">
        <f t="shared" si="1"/>
        <v/>
      </c>
      <c r="L34" s="14" t="str">
        <f t="shared" si="3"/>
        <v/>
      </c>
      <c r="M34" s="14">
        <f t="shared" si="2"/>
        <v>0.57173816872427985</v>
      </c>
    </row>
    <row r="35" spans="8:13" x14ac:dyDescent="0.25">
      <c r="H35" s="2" t="s">
        <v>86</v>
      </c>
      <c r="I35" s="2"/>
      <c r="J35" s="17">
        <v>3998</v>
      </c>
      <c r="K35" s="16" t="str">
        <f t="shared" si="1"/>
        <v/>
      </c>
      <c r="L35" s="14" t="str">
        <f t="shared" si="3"/>
        <v/>
      </c>
      <c r="M35" s="14">
        <f t="shared" si="2"/>
        <v>0.43856661522633755</v>
      </c>
    </row>
  </sheetData>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B07B5-D4C7-4C4F-9561-D9A3CCF14D13}">
  <dimension ref="A1:G15"/>
  <sheetViews>
    <sheetView zoomScale="160" zoomScaleNormal="160" workbookViewId="0">
      <selection activeCell="C7" sqref="C7:C8"/>
    </sheetView>
  </sheetViews>
  <sheetFormatPr defaultColWidth="11" defaultRowHeight="15.75" x14ac:dyDescent="0.25"/>
  <cols>
    <col min="4" max="4" width="15.125" customWidth="1"/>
    <col min="5" max="5" width="18.125" customWidth="1"/>
  </cols>
  <sheetData>
    <row r="1" spans="1:7" x14ac:dyDescent="0.25">
      <c r="A1" t="s">
        <v>170</v>
      </c>
      <c r="C1" t="s">
        <v>171</v>
      </c>
      <c r="D1" t="s">
        <v>172</v>
      </c>
      <c r="E1" t="s">
        <v>173</v>
      </c>
      <c r="F1" t="s">
        <v>174</v>
      </c>
    </row>
    <row r="3" spans="1:7" x14ac:dyDescent="0.25">
      <c r="A3" t="s">
        <v>175</v>
      </c>
      <c r="B3" t="s">
        <v>176</v>
      </c>
      <c r="D3" t="s">
        <v>177</v>
      </c>
      <c r="E3" t="s">
        <v>178</v>
      </c>
      <c r="F3" s="18">
        <v>657</v>
      </c>
    </row>
    <row r="4" spans="1:7" x14ac:dyDescent="0.25">
      <c r="A4" t="s">
        <v>179</v>
      </c>
      <c r="B4" t="s">
        <v>180</v>
      </c>
      <c r="D4" t="s">
        <v>181</v>
      </c>
      <c r="E4" t="s">
        <v>182</v>
      </c>
      <c r="F4" s="19">
        <v>832.2</v>
      </c>
    </row>
    <row r="5" spans="1:7" x14ac:dyDescent="0.25">
      <c r="A5" t="s">
        <v>183</v>
      </c>
      <c r="B5" t="s">
        <v>184</v>
      </c>
      <c r="D5" t="s">
        <v>185</v>
      </c>
      <c r="E5" t="s">
        <v>186</v>
      </c>
      <c r="F5" s="19">
        <v>383.98</v>
      </c>
    </row>
    <row r="6" spans="1:7" x14ac:dyDescent="0.25">
      <c r="A6" t="s">
        <v>187</v>
      </c>
      <c r="B6" t="s">
        <v>188</v>
      </c>
      <c r="C6">
        <v>10.6</v>
      </c>
      <c r="D6" t="s">
        <v>189</v>
      </c>
      <c r="E6" t="s">
        <v>190</v>
      </c>
      <c r="F6" s="18">
        <v>1511</v>
      </c>
    </row>
    <row r="7" spans="1:7" x14ac:dyDescent="0.25">
      <c r="A7" t="s">
        <v>191</v>
      </c>
      <c r="B7" t="s">
        <v>192</v>
      </c>
      <c r="C7">
        <v>15.7</v>
      </c>
      <c r="D7" t="s">
        <v>193</v>
      </c>
      <c r="E7" t="s">
        <v>194</v>
      </c>
      <c r="F7" s="18">
        <v>2233.8000000000002</v>
      </c>
    </row>
    <row r="8" spans="1:7" x14ac:dyDescent="0.25">
      <c r="A8" t="s">
        <v>195</v>
      </c>
      <c r="B8" t="s">
        <v>196</v>
      </c>
      <c r="C8">
        <v>19.5</v>
      </c>
      <c r="D8" t="s">
        <v>197</v>
      </c>
      <c r="E8" t="s">
        <v>198</v>
      </c>
      <c r="F8" s="19">
        <v>2682.29</v>
      </c>
      <c r="G8" t="s">
        <v>199</v>
      </c>
    </row>
    <row r="9" spans="1:7" x14ac:dyDescent="0.25">
      <c r="A9" t="s">
        <v>195</v>
      </c>
      <c r="B9" t="s">
        <v>200</v>
      </c>
      <c r="C9" s="20" t="s">
        <v>201</v>
      </c>
      <c r="D9" t="s">
        <v>202</v>
      </c>
      <c r="E9" t="s">
        <v>203</v>
      </c>
      <c r="F9" s="19">
        <v>331.42</v>
      </c>
    </row>
    <row r="10" spans="1:7" x14ac:dyDescent="0.25">
      <c r="C10">
        <v>31.2</v>
      </c>
      <c r="E10" t="s">
        <v>204</v>
      </c>
      <c r="F10" s="18">
        <v>2336</v>
      </c>
    </row>
    <row r="11" spans="1:7" x14ac:dyDescent="0.25">
      <c r="A11" t="s">
        <v>205</v>
      </c>
      <c r="B11" t="s">
        <v>206</v>
      </c>
      <c r="C11">
        <v>67</v>
      </c>
      <c r="D11" t="s">
        <v>207</v>
      </c>
      <c r="E11" t="s">
        <v>208</v>
      </c>
      <c r="F11" s="18">
        <v>5095</v>
      </c>
    </row>
    <row r="14" spans="1:7" x14ac:dyDescent="0.25">
      <c r="C14" t="s">
        <v>209</v>
      </c>
    </row>
    <row r="15" spans="1:7" x14ac:dyDescent="0.25">
      <c r="C15" t="s">
        <v>210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14445-9949-3F4E-9667-CF1BA7DFF1C5}">
  <dimension ref="B3:K7"/>
  <sheetViews>
    <sheetView zoomScale="162" zoomScaleNormal="162" workbookViewId="0">
      <selection activeCell="I4" sqref="I4"/>
    </sheetView>
  </sheetViews>
  <sheetFormatPr defaultColWidth="11" defaultRowHeight="15.75" x14ac:dyDescent="0.25"/>
  <cols>
    <col min="2" max="2" width="27.375" customWidth="1"/>
    <col min="7" max="7" width="19.875" customWidth="1"/>
    <col min="8" max="8" width="16.125" customWidth="1"/>
    <col min="9" max="9" width="11.5" customWidth="1"/>
    <col min="10" max="10" width="36.875" customWidth="1"/>
    <col min="11" max="11" width="64.5" customWidth="1"/>
  </cols>
  <sheetData>
    <row r="3" spans="2:11" x14ac:dyDescent="0.25">
      <c r="B3" s="33" t="s">
        <v>211</v>
      </c>
      <c r="C3" s="33" t="s">
        <v>212</v>
      </c>
      <c r="D3" s="33" t="s">
        <v>213</v>
      </c>
      <c r="E3" s="33" t="s">
        <v>214</v>
      </c>
      <c r="F3" s="33" t="s">
        <v>215</v>
      </c>
      <c r="G3" s="33" t="s">
        <v>216</v>
      </c>
      <c r="H3" s="33" t="s">
        <v>217</v>
      </c>
      <c r="I3" s="33" t="s">
        <v>218</v>
      </c>
      <c r="J3" s="33" t="s">
        <v>219</v>
      </c>
      <c r="K3" s="33" t="s">
        <v>220</v>
      </c>
    </row>
    <row r="4" spans="2:11" ht="18.95" customHeight="1" x14ac:dyDescent="0.25">
      <c r="B4" t="s">
        <v>221</v>
      </c>
      <c r="D4" t="s">
        <v>222</v>
      </c>
      <c r="E4" s="43" t="s">
        <v>223</v>
      </c>
      <c r="F4">
        <v>2.4</v>
      </c>
      <c r="G4" s="23">
        <v>0.38400000000000001</v>
      </c>
      <c r="H4" s="23">
        <v>0.115</v>
      </c>
      <c r="I4" s="37">
        <f>$H4/($F4*1000*3600/1000000)</f>
        <v>1.3310185185185185E-2</v>
      </c>
      <c r="J4" t="s">
        <v>224</v>
      </c>
      <c r="K4" s="42" t="s">
        <v>225</v>
      </c>
    </row>
    <row r="5" spans="2:11" x14ac:dyDescent="0.25">
      <c r="B5" t="s">
        <v>226</v>
      </c>
      <c r="D5" t="s">
        <v>227</v>
      </c>
      <c r="E5" s="43" t="s">
        <v>228</v>
      </c>
      <c r="F5">
        <v>11</v>
      </c>
      <c r="G5" s="23">
        <v>0.90400000000000003</v>
      </c>
      <c r="H5" s="23">
        <v>0.2712</v>
      </c>
      <c r="I5" s="37">
        <f t="shared" ref="I5:I7" si="0">$H5/($F5*1000*3600/1000000)</f>
        <v>6.8484848484848485E-3</v>
      </c>
    </row>
    <row r="6" spans="2:11" x14ac:dyDescent="0.25">
      <c r="B6" t="s">
        <v>229</v>
      </c>
      <c r="E6" t="s">
        <v>192</v>
      </c>
      <c r="F6">
        <v>236.7</v>
      </c>
      <c r="G6" s="23">
        <v>3.06</v>
      </c>
      <c r="H6" s="23">
        <v>0.91800000000000004</v>
      </c>
      <c r="I6" s="37">
        <f t="shared" si="0"/>
        <v>1.0773130544993663E-3</v>
      </c>
    </row>
    <row r="7" spans="2:11" x14ac:dyDescent="0.25">
      <c r="B7" t="s">
        <v>230</v>
      </c>
      <c r="E7" t="s">
        <v>196</v>
      </c>
      <c r="F7">
        <v>89.4</v>
      </c>
      <c r="G7" s="23">
        <v>3.673</v>
      </c>
      <c r="H7" s="23">
        <v>1.3</v>
      </c>
      <c r="I7" s="37">
        <f t="shared" si="0"/>
        <v>4.0392741735023616E-3</v>
      </c>
    </row>
  </sheetData>
  <hyperlinks>
    <hyperlink ref="K4" r:id="rId1" display="https://loop.cloud.microsoft/p/eyJ1IjoiaHR0cHM6Ly9taWNyb3NvZnQuc2hhcmVwb2ludC1kZi5jb20vY29udGVudHN0b3JhZ2UvQ1NQX2JmMDE5MjhlLTQxZWEtNDg4Mi1iMDUyLTUxYTZkOTczYTk3Mz9uYXY9Y3owbE1rWmpiMjUwWlc1MGMzUnZjbUZuWlNVeVJrTlRVRjlpWmpBeE9USTRaUzAwTVdWaExUUTRPREl0WWpBMU1pMDFNV0UyWkRrM00yRTVOek1tWkQxaUpUSXhhbkJKUW5ZdGNFSm5hMmwzVld4SGJUSllUM0JqTlhOa1h6TmpRamhYT1VkdFIwNVlPRjh5TjNOR1ExbHpjRUpyTVZkSFFWUmFaVEJ1Y2xoaWNrRTBkeVptUFRBeE5VWkNVVlpHUlZWTk5sRkpVbFJaVFZoYVNFbFBTVnBJU2xCYVJsVTFOMEVtWXowbE1rWW1ZVDFNYjI5d1FYQndKbmc5SlRkQ0pUSXlkeVV5TWlVelFTVXlNbFF3VWxSVlNIaDBZVmRPZVdJelRuWmFibEYxWXpKb2FHTnRWbmRpTW14MVpFTTFhbUl5TVRoWmFVWkZUVVJTVG1GRldtWlRlbFp5WlZSa2VsWnJjSFJoUlRWYVRsTXhUbU5IVVhoU2JVWjBXV3RHYTFJeldrSlZNMVY2Vm14ak5VOUdPVk5PTWxKV1lrUkNSRlZIVmpaVlZtc3hZakZXUlZkVVFsVk5WVkp3WmtSQmVGSXdiRVJSVlRsRlRXdHNVMVpzYUVaT1ZUbFhUa1JPUjFFd2VFTlNlbVJMVmxaQ1VGUldWa2xYVldNbE0wUWxNaklsTWtNbE1qSnBKVEl5SlROQkpUSXlOak5sTjJZNE5Ua3RZalV6TWkwMFpUTTBMVGxrWldRdE9ESmlZamxtT0dFNU16VTJKVEl5SlRkRSJ9?ct=1740428079721&amp;_x000a_" xr:uid="{BA65B60D-3A58-2044-9CA7-B639F26C1FD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E089821E7FFA409886B3AD0234035C" ma:contentTypeVersion="26" ma:contentTypeDescription="Create a new document." ma:contentTypeScope="" ma:versionID="6cfe3b79087f02278bced7b5afc5da17">
  <xsd:schema xmlns:xsd="http://www.w3.org/2001/XMLSchema" xmlns:xs="http://www.w3.org/2001/XMLSchema" xmlns:p="http://schemas.microsoft.com/office/2006/metadata/properties" xmlns:ns1="http://schemas.microsoft.com/sharepoint/v3" xmlns:ns2="ebcd411e-39d2-437c-921d-5ffc9b96e570" xmlns:ns3="d01ac7e3-0127-46ca-87d1-141033fc51e3" xmlns:ns4="230e9df3-be65-4c73-a93b-d1236ebd677e" targetNamespace="http://schemas.microsoft.com/office/2006/metadata/properties" ma:root="true" ma:fieldsID="74be23f00f8cfee9d927006b804d8485" ns1:_="" ns2:_="" ns3:_="" ns4:_="">
    <xsd:import namespace="http://schemas.microsoft.com/sharepoint/v3"/>
    <xsd:import namespace="ebcd411e-39d2-437c-921d-5ffc9b96e570"/>
    <xsd:import namespace="d01ac7e3-0127-46ca-87d1-141033fc51e3"/>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1:_ip_UnifiedCompliancePolicyProperties" minOccurs="0"/>
                <xsd:element ref="ns1:_ip_UnifiedCompliancePolicyUIAction" minOccurs="0"/>
                <xsd:element ref="ns2:Status" minOccurs="0"/>
                <xsd:element ref="ns2:MediaLengthInSeconds" minOccurs="0"/>
                <xsd:element ref="ns2:lcf76f155ced4ddcb4097134ff3c332f" minOccurs="0"/>
                <xsd:element ref="ns4:TaxCatchAll" minOccurs="0"/>
                <xsd:element ref="ns2:OneNoteFluid_FileOrder" minOccurs="0"/>
                <xsd:element ref="ns2:MediaServiceSearchProperties" minOccurs="0"/>
                <xsd:element ref="ns2:MediaServiceDocTags" minOccurs="0"/>
                <xsd:element ref="ns2:MediaServiceObjectDetectorVersions" minOccurs="0"/>
                <xsd:element ref="ns2:MediaServiceSystemTags" minOccurs="0"/>
                <xsd:element ref="ns2:Comment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cd411e-39d2-437c-921d-5ffc9b96e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Status" ma:index="21" nillable="true" ma:displayName="Status" ma:default="One Pager" ma:format="Dropdown" ma:internalName="Status">
      <xsd:simpleType>
        <xsd:restriction base="dms:Text">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OneNoteFluid_FileOrder" ma:index="26" nillable="true" ma:displayName="OneNoteFluid_FileOrder" ma:internalName="OneNoteFluid_FileOrder">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ocTags" ma:index="28" nillable="true" ma:displayName="MediaServiceDocTags" ma:hidden="true" ma:internalName="MediaServiceDocTag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ystemTags" ma:index="30" nillable="true" ma:displayName="MediaServiceSystemTags" ma:hidden="true" ma:internalName="MediaServiceSystemTags" ma:readOnly="true">
      <xsd:simpleType>
        <xsd:restriction base="dms:Note"/>
      </xsd:simpleType>
    </xsd:element>
    <xsd:element name="Comments" ma:index="31" nillable="true" ma:displayName="Comments" ma:format="Dropdown" ma:internalName="Comments">
      <xsd:simpleType>
        <xsd:restriction base="dms:Text">
          <xsd:maxLength value="255"/>
        </xsd:restriction>
      </xsd:simpleType>
    </xsd:element>
    <xsd:element name="MediaServiceBillingMetadata" ma:index="32"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01ac7e3-0127-46ca-87d1-141033fc5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cdfba08c-59f0-4ee1-ab25-f66a7261e9a8}" ma:internalName="TaxCatchAll" ma:showField="CatchAllData" ma:web="d01ac7e3-0127-46ca-87d1-141033fc5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Comments xmlns="ebcd411e-39d2-437c-921d-5ffc9b96e570" xsi:nil="true"/>
    <Status xmlns="ebcd411e-39d2-437c-921d-5ffc9b96e570">One Pager</Status>
    <OneNoteFluid_FileOrder xmlns="ebcd411e-39d2-437c-921d-5ffc9b96e570" xsi:nil="true"/>
    <TaxCatchAll xmlns="230e9df3-be65-4c73-a93b-d1236ebd677e" xsi:nil="true"/>
    <lcf76f155ced4ddcb4097134ff3c332f xmlns="ebcd411e-39d2-437c-921d-5ffc9b96e57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F5330A-C4D8-49B2-9DBC-091FB867A7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cd411e-39d2-437c-921d-5ffc9b96e570"/>
    <ds:schemaRef ds:uri="d01ac7e3-0127-46ca-87d1-141033fc51e3"/>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5100A3D-9282-48C1-BE56-ACE106E55672}">
  <ds:schemaRefs>
    <ds:schemaRef ds:uri="http://purl.org/dc/terms/"/>
    <ds:schemaRef ds:uri="http://schemas.microsoft.com/office/2006/metadata/properties"/>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d01ac7e3-0127-46ca-87d1-141033fc51e3"/>
    <ds:schemaRef ds:uri="http://purl.org/dc/dcmitype/"/>
    <ds:schemaRef ds:uri="230e9df3-be65-4c73-a93b-d1236ebd677e"/>
    <ds:schemaRef ds:uri="ebcd411e-39d2-437c-921d-5ffc9b96e570"/>
    <ds:schemaRef ds:uri="http://schemas.microsoft.com/sharepoint/v3"/>
    <ds:schemaRef ds:uri="http://purl.org/dc/elements/1.1/"/>
  </ds:schemaRefs>
</ds:datastoreItem>
</file>

<file path=customXml/itemProps3.xml><?xml version="1.0" encoding="utf-8"?>
<ds:datastoreItem xmlns:ds="http://schemas.openxmlformats.org/officeDocument/2006/customXml" ds:itemID="{39B871F7-4A07-4B47-8E0F-1D2705003A46}">
  <ds:schemaRefs>
    <ds:schemaRef ds:uri="http://schemas.microsoft.com/sharepoint/v3/contenttype/forms"/>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COGS_Estimates</vt:lpstr>
      <vt:lpstr>COGS_Estimates_Backup</vt:lpstr>
      <vt:lpstr>Ezras_Usage_Stats_20250219</vt:lpstr>
      <vt:lpstr>GPU_Architectures</vt:lpstr>
      <vt:lpstr>Cost_per_Token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Aaron Dunlop</dc:creator>
  <cp:keywords/>
  <dc:description/>
  <cp:lastModifiedBy>Nathan Imse</cp:lastModifiedBy>
  <cp:revision/>
  <dcterms:created xsi:type="dcterms:W3CDTF">2025-02-18T23:28:08Z</dcterms:created>
  <dcterms:modified xsi:type="dcterms:W3CDTF">2025-11-26T22:54:31Z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0x01010061E089821E7FFA409886B3AD0234035C</vt:lpwstr>
  </property>
  <property fmtid="{D5CDD505-2E9C-101B-9397-08002B2CF9AE}" pid="3" name="MediaServiceImageTags">
    <vt:lpwstr/>
  </property>
</Properties>
</file>