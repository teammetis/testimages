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nimse\code\AI.MCS-Data\kb-vault\sbs-eval\en-US\Code_Interpreter_1022_eval\20251125\data\sc2_Bot20Files\"/>
    </mc:Choice>
  </mc:AlternateContent>
  <xr:revisionPtr revIDLastSave="0" documentId="13_ncr:1_{3F586F25-00BB-44E3-956D-E354FBEE4CE5}" xr6:coauthVersionLast="47" xr6:coauthVersionMax="47" xr10:uidLastSave="{00000000-0000-0000-0000-000000000000}"/>
  <bookViews>
    <workbookView xWindow="3150" yWindow="3150" windowWidth="19290" windowHeight="10320" xr2:uid="{7D895A06-4D68-FE47-BD98-9630907C58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K4" i="1"/>
  <c r="K3" i="1"/>
  <c r="K2" i="1"/>
  <c r="F156" i="1" l="1"/>
  <c r="F155" i="1"/>
  <c r="F154" i="1"/>
</calcChain>
</file>

<file path=xl/sharedStrings.xml><?xml version="1.0" encoding="utf-8"?>
<sst xmlns="http://schemas.openxmlformats.org/spreadsheetml/2006/main" count="613" uniqueCount="168">
  <si>
    <t>Date</t>
  </si>
  <si>
    <t>Customer</t>
  </si>
  <si>
    <t>Smith Roofing, Inc.</t>
  </si>
  <si>
    <t>City</t>
  </si>
  <si>
    <t>Region</t>
  </si>
  <si>
    <t>Midwest</t>
  </si>
  <si>
    <t>Baxter Plumbing</t>
  </si>
  <si>
    <t>Southwest</t>
  </si>
  <si>
    <t>Transactions</t>
  </si>
  <si>
    <t>Total Revenue</t>
  </si>
  <si>
    <t>Greenfield Electric Co</t>
  </si>
  <si>
    <t>Median Transaction Revenue</t>
  </si>
  <si>
    <t>State</t>
  </si>
  <si>
    <t>Revenue</t>
  </si>
  <si>
    <t>Brown Landscaping</t>
  </si>
  <si>
    <t>Denver</t>
  </si>
  <si>
    <t>CO</t>
  </si>
  <si>
    <t>Hernandez Construction</t>
  </si>
  <si>
    <t>St. Louis</t>
  </si>
  <si>
    <t>MO</t>
  </si>
  <si>
    <t>Moore Plumbing</t>
  </si>
  <si>
    <t>San Francisco</t>
  </si>
  <si>
    <t>CA</t>
  </si>
  <si>
    <t>West</t>
  </si>
  <si>
    <t>Perez Heating</t>
  </si>
  <si>
    <t>Tulsa</t>
  </si>
  <si>
    <t>OK</t>
  </si>
  <si>
    <t>King Heating</t>
  </si>
  <si>
    <t>Indianapolis</t>
  </si>
  <si>
    <t>IN</t>
  </si>
  <si>
    <t>Collins Fencing</t>
  </si>
  <si>
    <t>Sacramento</t>
  </si>
  <si>
    <t>Ramirez Electric</t>
  </si>
  <si>
    <t>Oxnard</t>
  </si>
  <si>
    <t>Baker Windows</t>
  </si>
  <si>
    <t>Richmond</t>
  </si>
  <si>
    <t>VA</t>
  </si>
  <si>
    <t>Southeast</t>
  </si>
  <si>
    <t>Thompson Construction</t>
  </si>
  <si>
    <t>Salt Lake City</t>
  </si>
  <si>
    <t>UT</t>
  </si>
  <si>
    <t>James HVAC</t>
  </si>
  <si>
    <t>Garden Grove</t>
  </si>
  <si>
    <t>Gonzalez Fencing</t>
  </si>
  <si>
    <t>New Orleans</t>
  </si>
  <si>
    <t>LA</t>
  </si>
  <si>
    <t>Edwards Windows</t>
  </si>
  <si>
    <t>Fresno</t>
  </si>
  <si>
    <t>Bell Electric</t>
  </si>
  <si>
    <t>Chula Vista</t>
  </si>
  <si>
    <t>Martinez Carpentry</t>
  </si>
  <si>
    <t>Albuquerque</t>
  </si>
  <si>
    <t>NM</t>
  </si>
  <si>
    <t>Wilson Roofing</t>
  </si>
  <si>
    <t>Seattle</t>
  </si>
  <si>
    <t>WA</t>
  </si>
  <si>
    <t>Northwest</t>
  </si>
  <si>
    <t>Taylor Electric</t>
  </si>
  <si>
    <t>Dallas</t>
  </si>
  <si>
    <t>TX</t>
  </si>
  <si>
    <t>Davis Painting</t>
  </si>
  <si>
    <t>Miami</t>
  </si>
  <si>
    <t>FL</t>
  </si>
  <si>
    <t>Brooks Windows</t>
  </si>
  <si>
    <t>Santa Rosa</t>
  </si>
  <si>
    <t>Nelson Painting</t>
  </si>
  <si>
    <t>Birmingham</t>
  </si>
  <si>
    <t>AL</t>
  </si>
  <si>
    <t>Reed Carpentry</t>
  </si>
  <si>
    <t>Santa Ana</t>
  </si>
  <si>
    <t>Bailey Flooring</t>
  </si>
  <si>
    <t>Fremont</t>
  </si>
  <si>
    <t>Harris Painting</t>
  </si>
  <si>
    <t>San Diego</t>
  </si>
  <si>
    <t>Ward Heating</t>
  </si>
  <si>
    <t>Huntington Beach</t>
  </si>
  <si>
    <t>Martin Landscaping</t>
  </si>
  <si>
    <t>Las Vegas</t>
  </si>
  <si>
    <t>NV</t>
  </si>
  <si>
    <t>Turner Roofing</t>
  </si>
  <si>
    <t>Fort Worth</t>
  </si>
  <si>
    <t>Kelly Fencing</t>
  </si>
  <si>
    <t>Ontario</t>
  </si>
  <si>
    <t>Gray Plumbing</t>
  </si>
  <si>
    <t>Santa Clarita</t>
  </si>
  <si>
    <t>Sanchez Landscaping</t>
  </si>
  <si>
    <t>Oakland</t>
  </si>
  <si>
    <t>Green HVAC</t>
  </si>
  <si>
    <t>Louisville</t>
  </si>
  <si>
    <t>KY</t>
  </si>
  <si>
    <t>Lee Flooring</t>
  </si>
  <si>
    <t>Nashville</t>
  </si>
  <si>
    <t>TN</t>
  </si>
  <si>
    <t>Campbell Electric</t>
  </si>
  <si>
    <t>Colorado Springs</t>
  </si>
  <si>
    <t>Lopez Roofing</t>
  </si>
  <si>
    <t>Milwaukee</t>
  </si>
  <si>
    <t>WI</t>
  </si>
  <si>
    <t>Phillips Plumbing</t>
  </si>
  <si>
    <t>El Paso</t>
  </si>
  <si>
    <t>Adams Flooring</t>
  </si>
  <si>
    <t>Memphis</t>
  </si>
  <si>
    <t>Garcia Heating</t>
  </si>
  <si>
    <t>Tucson</t>
  </si>
  <si>
    <t>AZ</t>
  </si>
  <si>
    <t>Williams Heating</t>
  </si>
  <si>
    <t>Phoenix</t>
  </si>
  <si>
    <t>Hall Fencing</t>
  </si>
  <si>
    <t>Kansas City</t>
  </si>
  <si>
    <t>Scott Electric</t>
  </si>
  <si>
    <t>Cleveland</t>
  </si>
  <si>
    <t>OH</t>
  </si>
  <si>
    <t>Torres Carpentry</t>
  </si>
  <si>
    <t>Austin</t>
  </si>
  <si>
    <t>Rodriguez Electric</t>
  </si>
  <si>
    <t>San Antonio</t>
  </si>
  <si>
    <t>Parker HVAC</t>
  </si>
  <si>
    <t>Morris Construction</t>
  </si>
  <si>
    <t>Bakersfield</t>
  </si>
  <si>
    <t>Richardson Painting</t>
  </si>
  <si>
    <t>Fontana</t>
  </si>
  <si>
    <t>Cooper Fencing</t>
  </si>
  <si>
    <t>Modesto</t>
  </si>
  <si>
    <t>Evans Flooring</t>
  </si>
  <si>
    <t>San Jose</t>
  </si>
  <si>
    <t>Anderson HVAC</t>
  </si>
  <si>
    <t>Houston</t>
  </si>
  <si>
    <t>Wright Carpentry</t>
  </si>
  <si>
    <t>Columbus</t>
  </si>
  <si>
    <t>Roberts Carpentry</t>
  </si>
  <si>
    <t>Wichita</t>
  </si>
  <si>
    <t>KS</t>
  </si>
  <si>
    <t>Rogers Heating</t>
  </si>
  <si>
    <t>Anaheim</t>
  </si>
  <si>
    <t>Thomas Flooring</t>
  </si>
  <si>
    <t>Orlando</t>
  </si>
  <si>
    <t>Young Landscaping</t>
  </si>
  <si>
    <t>Minneapolis</t>
  </si>
  <si>
    <t>MN</t>
  </si>
  <si>
    <t>Mitchell Construction</t>
  </si>
  <si>
    <t>Oklahoma City</t>
  </si>
  <si>
    <t>Murphy HVAC</t>
  </si>
  <si>
    <t>Irvine</t>
  </si>
  <si>
    <t>Howard Construction</t>
  </si>
  <si>
    <t>Glendale</t>
  </si>
  <si>
    <t>Clark Plumbing</t>
  </si>
  <si>
    <t>Morgan Plumbing</t>
  </si>
  <si>
    <t>Stockton</t>
  </si>
  <si>
    <t>Cook Roofing</t>
  </si>
  <si>
    <t>Riverside</t>
  </si>
  <si>
    <t>Hill Plumbing</t>
  </si>
  <si>
    <t>Detroit</t>
  </si>
  <si>
    <t>MI</t>
  </si>
  <si>
    <t>Robinson Roofing</t>
  </si>
  <si>
    <t>Boise</t>
  </si>
  <si>
    <t>ID</t>
  </si>
  <si>
    <t>White Fencing</t>
  </si>
  <si>
    <t>Portland</t>
  </si>
  <si>
    <t>OR</t>
  </si>
  <si>
    <t>Des Moines</t>
  </si>
  <si>
    <t>IA</t>
  </si>
  <si>
    <t>Walker Windows</t>
  </si>
  <si>
    <t>Raleigh</t>
  </si>
  <si>
    <t>NC</t>
  </si>
  <si>
    <t>Jackson Windows</t>
  </si>
  <si>
    <t>Charlotte</t>
  </si>
  <si>
    <t>Peterson Roofing</t>
  </si>
  <si>
    <t>Rancho Cucamonga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</si>
</sst>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\-mm\-dd;@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8" fontId="0" fillId="0" borderId="0" xfId="0" applyNumberFormat="1"/>
    <xf numFmtId="0" fontId="1" fillId="0" borderId="0" xfId="0" applyFont="1"/>
    <xf numFmtId="8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7234A-B34A-0A4F-978D-3768C684D668}">
  <dimension ref="A1:K157"/>
  <sheetViews>
    <sheetView tabSelected="1" topLeftCell="A136" zoomScale="188" zoomScaleNormal="188" workbookViewId="0">
      <selection activeCell="F156" sqref="F156"/>
    </sheetView>
  </sheetViews>
  <sheetFormatPr defaultColWidth="11" defaultRowHeight="15.75" x14ac:dyDescent="0.25"/>
  <cols>
    <col min="1" max="1" width="14" customWidth="1"/>
    <col min="6" max="6" width="15.625" customWidth="1"/>
  </cols>
  <sheetData>
    <row r="1" spans="1:11" x14ac:dyDescent="0.25">
      <c r="A1" t="s">
        <v>0</v>
      </c>
      <c r="B1" t="s">
        <v>1</v>
      </c>
      <c r="C1" t="s">
        <v>3</v>
      </c>
      <c r="D1" t="s">
        <v>12</v>
      </c>
      <c r="E1" t="s">
        <v>4</v>
      </c>
      <c r="F1" t="s">
        <v>13</v>
      </c>
    </row>
    <row r="2" spans="1:11" x14ac:dyDescent="0.25">
      <c r="A2" s="4">
        <v>45659</v>
      </c>
      <c r="B2" t="s">
        <v>14</v>
      </c>
      <c r="C2" t="s">
        <v>15</v>
      </c>
      <c r="D2" t="s">
        <v>16</v>
      </c>
      <c r="E2" t="s">
        <v>7</v>
      </c>
      <c r="F2" s="1">
        <v>17443.900000000001</v>
      </c>
      <c r="J2" t="s">
        <v>37</v>
      </c>
      <c r="K2">
        <f>COUNTIF($E$2:$E$151,J2)</f>
        <v>21</v>
      </c>
    </row>
    <row r="3" spans="1:11" x14ac:dyDescent="0.25">
      <c r="A3" s="4">
        <v>45659</v>
      </c>
      <c r="B3" t="s">
        <v>17</v>
      </c>
      <c r="C3" t="s">
        <v>18</v>
      </c>
      <c r="D3" t="s">
        <v>19</v>
      </c>
      <c r="E3" t="s">
        <v>5</v>
      </c>
      <c r="F3" s="1">
        <v>53828.32</v>
      </c>
      <c r="J3" t="s">
        <v>7</v>
      </c>
      <c r="K3">
        <f t="shared" ref="K3:K5" si="0">COUNTIF($E$2:$E$151,J3)</f>
        <v>40</v>
      </c>
    </row>
    <row r="4" spans="1:11" x14ac:dyDescent="0.25">
      <c r="A4" s="4">
        <v>45659</v>
      </c>
      <c r="B4" t="s">
        <v>20</v>
      </c>
      <c r="C4" t="s">
        <v>21</v>
      </c>
      <c r="D4" t="s">
        <v>22</v>
      </c>
      <c r="E4" t="s">
        <v>23</v>
      </c>
      <c r="F4" s="1">
        <v>134559.45000000001</v>
      </c>
      <c r="J4" t="s">
        <v>23</v>
      </c>
      <c r="K4">
        <f t="shared" si="0"/>
        <v>61</v>
      </c>
    </row>
    <row r="5" spans="1:11" x14ac:dyDescent="0.25">
      <c r="A5" s="4">
        <v>45660</v>
      </c>
      <c r="B5" t="s">
        <v>24</v>
      </c>
      <c r="C5" t="s">
        <v>25</v>
      </c>
      <c r="D5" t="s">
        <v>26</v>
      </c>
      <c r="E5" t="s">
        <v>7</v>
      </c>
      <c r="F5" s="1">
        <v>131875.37</v>
      </c>
      <c r="J5" t="s">
        <v>5</v>
      </c>
      <c r="K5">
        <f t="shared" si="0"/>
        <v>24</v>
      </c>
    </row>
    <row r="6" spans="1:11" x14ac:dyDescent="0.25">
      <c r="A6" s="4">
        <v>45660</v>
      </c>
      <c r="B6" t="s">
        <v>27</v>
      </c>
      <c r="C6" t="s">
        <v>28</v>
      </c>
      <c r="D6" t="s">
        <v>29</v>
      </c>
      <c r="E6" t="s">
        <v>5</v>
      </c>
      <c r="F6" s="1">
        <v>83384.45</v>
      </c>
    </row>
    <row r="7" spans="1:11" x14ac:dyDescent="0.25">
      <c r="A7" s="4">
        <v>45660</v>
      </c>
      <c r="B7" t="s">
        <v>30</v>
      </c>
      <c r="C7" t="s">
        <v>31</v>
      </c>
      <c r="D7" t="s">
        <v>22</v>
      </c>
      <c r="E7" t="s">
        <v>23</v>
      </c>
      <c r="F7" s="1">
        <v>89689.66</v>
      </c>
    </row>
    <row r="8" spans="1:11" x14ac:dyDescent="0.25">
      <c r="A8" s="4">
        <v>45661</v>
      </c>
      <c r="B8" t="s">
        <v>32</v>
      </c>
      <c r="C8" t="s">
        <v>33</v>
      </c>
      <c r="D8" t="s">
        <v>22</v>
      </c>
      <c r="E8" t="s">
        <v>23</v>
      </c>
      <c r="F8" s="1">
        <v>114905.94</v>
      </c>
    </row>
    <row r="9" spans="1:11" x14ac:dyDescent="0.25">
      <c r="A9" s="4">
        <v>45662</v>
      </c>
      <c r="B9" t="s">
        <v>34</v>
      </c>
      <c r="C9" t="s">
        <v>35</v>
      </c>
      <c r="D9" t="s">
        <v>36</v>
      </c>
      <c r="E9" t="s">
        <v>37</v>
      </c>
      <c r="F9" s="1">
        <v>131149.25</v>
      </c>
    </row>
    <row r="10" spans="1:11" x14ac:dyDescent="0.25">
      <c r="A10" s="4">
        <v>45662</v>
      </c>
      <c r="B10" t="s">
        <v>38</v>
      </c>
      <c r="C10" t="s">
        <v>39</v>
      </c>
      <c r="D10" t="s">
        <v>40</v>
      </c>
      <c r="E10" t="s">
        <v>7</v>
      </c>
      <c r="F10" s="1">
        <v>13519.76</v>
      </c>
    </row>
    <row r="11" spans="1:11" x14ac:dyDescent="0.25">
      <c r="A11" s="4">
        <v>45662</v>
      </c>
      <c r="B11" t="s">
        <v>41</v>
      </c>
      <c r="C11" t="s">
        <v>42</v>
      </c>
      <c r="D11" t="s">
        <v>22</v>
      </c>
      <c r="E11" t="s">
        <v>23</v>
      </c>
      <c r="F11" s="1">
        <v>23563.49</v>
      </c>
    </row>
    <row r="12" spans="1:11" x14ac:dyDescent="0.25">
      <c r="A12" s="4">
        <v>45662</v>
      </c>
      <c r="B12" t="s">
        <v>43</v>
      </c>
      <c r="C12" t="s">
        <v>44</v>
      </c>
      <c r="D12" t="s">
        <v>45</v>
      </c>
      <c r="E12" t="s">
        <v>37</v>
      </c>
      <c r="F12" s="1">
        <v>129486.84</v>
      </c>
    </row>
    <row r="13" spans="1:11" x14ac:dyDescent="0.25">
      <c r="A13" s="4">
        <v>45663</v>
      </c>
      <c r="B13" t="s">
        <v>46</v>
      </c>
      <c r="C13" t="s">
        <v>47</v>
      </c>
      <c r="D13" t="s">
        <v>22</v>
      </c>
      <c r="E13" t="s">
        <v>23</v>
      </c>
      <c r="F13" s="1">
        <v>19610.34</v>
      </c>
    </row>
    <row r="14" spans="1:11" x14ac:dyDescent="0.25">
      <c r="A14" s="4">
        <v>45663</v>
      </c>
      <c r="B14" t="s">
        <v>48</v>
      </c>
      <c r="C14" t="s">
        <v>49</v>
      </c>
      <c r="D14" t="s">
        <v>22</v>
      </c>
      <c r="E14" t="s">
        <v>23</v>
      </c>
      <c r="F14" s="1">
        <v>9244.66</v>
      </c>
    </row>
    <row r="15" spans="1:11" x14ac:dyDescent="0.25">
      <c r="A15" s="4">
        <v>45663</v>
      </c>
      <c r="B15" t="s">
        <v>50</v>
      </c>
      <c r="C15" t="s">
        <v>51</v>
      </c>
      <c r="D15" t="s">
        <v>52</v>
      </c>
      <c r="E15" t="s">
        <v>7</v>
      </c>
      <c r="F15" s="1">
        <v>70843.45</v>
      </c>
    </row>
    <row r="16" spans="1:11" x14ac:dyDescent="0.25">
      <c r="A16" s="4">
        <v>45664</v>
      </c>
      <c r="B16" t="s">
        <v>53</v>
      </c>
      <c r="C16" t="s">
        <v>54</v>
      </c>
      <c r="D16" t="s">
        <v>55</v>
      </c>
      <c r="E16" t="s">
        <v>56</v>
      </c>
      <c r="F16" s="1">
        <v>19849.57</v>
      </c>
    </row>
    <row r="17" spans="1:6" x14ac:dyDescent="0.25">
      <c r="A17" s="4">
        <v>45665</v>
      </c>
      <c r="B17" t="s">
        <v>57</v>
      </c>
      <c r="C17" t="s">
        <v>58</v>
      </c>
      <c r="D17" t="s">
        <v>59</v>
      </c>
      <c r="E17" t="s">
        <v>7</v>
      </c>
      <c r="F17" s="1">
        <v>37827.5</v>
      </c>
    </row>
    <row r="18" spans="1:6" x14ac:dyDescent="0.25">
      <c r="A18" s="4">
        <v>45666</v>
      </c>
      <c r="B18" t="s">
        <v>57</v>
      </c>
      <c r="C18" t="s">
        <v>58</v>
      </c>
      <c r="D18" t="s">
        <v>59</v>
      </c>
      <c r="E18" t="s">
        <v>7</v>
      </c>
      <c r="F18" s="1">
        <v>42318.81</v>
      </c>
    </row>
    <row r="19" spans="1:6" x14ac:dyDescent="0.25">
      <c r="A19" s="4">
        <v>45666</v>
      </c>
      <c r="B19" t="s">
        <v>60</v>
      </c>
      <c r="C19" t="s">
        <v>61</v>
      </c>
      <c r="D19" t="s">
        <v>62</v>
      </c>
      <c r="E19" t="s">
        <v>37</v>
      </c>
      <c r="F19" s="1">
        <v>138710.13</v>
      </c>
    </row>
    <row r="20" spans="1:6" x14ac:dyDescent="0.25">
      <c r="A20" s="4">
        <v>45667</v>
      </c>
      <c r="B20" t="s">
        <v>63</v>
      </c>
      <c r="C20" t="s">
        <v>64</v>
      </c>
      <c r="D20" t="s">
        <v>22</v>
      </c>
      <c r="E20" t="s">
        <v>23</v>
      </c>
      <c r="F20" s="1">
        <v>142369.81</v>
      </c>
    </row>
    <row r="21" spans="1:6" x14ac:dyDescent="0.25">
      <c r="A21" s="4">
        <v>45667</v>
      </c>
      <c r="B21" t="s">
        <v>65</v>
      </c>
      <c r="C21" t="s">
        <v>66</v>
      </c>
      <c r="D21" t="s">
        <v>67</v>
      </c>
      <c r="E21" t="s">
        <v>37</v>
      </c>
      <c r="F21" s="1">
        <v>125028.03</v>
      </c>
    </row>
    <row r="22" spans="1:6" x14ac:dyDescent="0.25">
      <c r="A22" s="4">
        <v>45668</v>
      </c>
      <c r="B22" t="s">
        <v>68</v>
      </c>
      <c r="C22" t="s">
        <v>69</v>
      </c>
      <c r="D22" t="s">
        <v>22</v>
      </c>
      <c r="E22" t="s">
        <v>23</v>
      </c>
      <c r="F22" s="1">
        <v>142366.42000000001</v>
      </c>
    </row>
    <row r="23" spans="1:6" x14ac:dyDescent="0.25">
      <c r="A23" s="4">
        <v>45669</v>
      </c>
      <c r="B23" t="s">
        <v>70</v>
      </c>
      <c r="C23" t="s">
        <v>71</v>
      </c>
      <c r="D23" t="s">
        <v>22</v>
      </c>
      <c r="E23" t="s">
        <v>23</v>
      </c>
      <c r="F23" s="1">
        <v>109892.65</v>
      </c>
    </row>
    <row r="24" spans="1:6" x14ac:dyDescent="0.25">
      <c r="A24" s="4">
        <v>45670</v>
      </c>
      <c r="B24" t="s">
        <v>72</v>
      </c>
      <c r="C24" t="s">
        <v>73</v>
      </c>
      <c r="D24" t="s">
        <v>22</v>
      </c>
      <c r="E24" t="s">
        <v>23</v>
      </c>
      <c r="F24" s="1">
        <v>60657.83</v>
      </c>
    </row>
    <row r="25" spans="1:6" x14ac:dyDescent="0.25">
      <c r="A25" s="4">
        <v>45671</v>
      </c>
      <c r="B25" t="s">
        <v>74</v>
      </c>
      <c r="C25" t="s">
        <v>75</v>
      </c>
      <c r="D25" t="s">
        <v>22</v>
      </c>
      <c r="E25" t="s">
        <v>23</v>
      </c>
      <c r="F25" s="1">
        <v>97318.44</v>
      </c>
    </row>
    <row r="26" spans="1:6" x14ac:dyDescent="0.25">
      <c r="A26" s="4">
        <v>45671</v>
      </c>
      <c r="B26" t="s">
        <v>76</v>
      </c>
      <c r="C26" t="s">
        <v>77</v>
      </c>
      <c r="D26" t="s">
        <v>78</v>
      </c>
      <c r="E26" t="s">
        <v>7</v>
      </c>
      <c r="F26" s="1">
        <v>26143.33</v>
      </c>
    </row>
    <row r="27" spans="1:6" x14ac:dyDescent="0.25">
      <c r="A27" s="4">
        <v>45671</v>
      </c>
      <c r="B27" t="s">
        <v>79</v>
      </c>
      <c r="C27" t="s">
        <v>80</v>
      </c>
      <c r="D27" t="s">
        <v>59</v>
      </c>
      <c r="E27" t="s">
        <v>7</v>
      </c>
      <c r="F27" s="1">
        <v>18926.150000000001</v>
      </c>
    </row>
    <row r="28" spans="1:6" x14ac:dyDescent="0.25">
      <c r="A28" s="4">
        <v>45671</v>
      </c>
      <c r="B28" t="s">
        <v>65</v>
      </c>
      <c r="C28" t="s">
        <v>66</v>
      </c>
      <c r="D28" t="s">
        <v>67</v>
      </c>
      <c r="E28" t="s">
        <v>37</v>
      </c>
      <c r="F28" s="1">
        <v>56612.33</v>
      </c>
    </row>
    <row r="29" spans="1:6" x14ac:dyDescent="0.25">
      <c r="A29" s="4">
        <v>45673</v>
      </c>
      <c r="B29" t="s">
        <v>81</v>
      </c>
      <c r="C29" t="s">
        <v>82</v>
      </c>
      <c r="D29" t="s">
        <v>22</v>
      </c>
      <c r="E29" t="s">
        <v>23</v>
      </c>
      <c r="F29" s="1">
        <v>59574.07</v>
      </c>
    </row>
    <row r="30" spans="1:6" x14ac:dyDescent="0.25">
      <c r="A30" s="4">
        <v>45673</v>
      </c>
      <c r="B30" t="s">
        <v>83</v>
      </c>
      <c r="C30" t="s">
        <v>84</v>
      </c>
      <c r="D30" t="s">
        <v>22</v>
      </c>
      <c r="E30" t="s">
        <v>23</v>
      </c>
      <c r="F30" s="1">
        <v>53338.61</v>
      </c>
    </row>
    <row r="31" spans="1:6" x14ac:dyDescent="0.25">
      <c r="A31" s="4">
        <v>45673</v>
      </c>
      <c r="B31" t="s">
        <v>85</v>
      </c>
      <c r="C31" t="s">
        <v>86</v>
      </c>
      <c r="D31" t="s">
        <v>22</v>
      </c>
      <c r="E31" t="s">
        <v>23</v>
      </c>
      <c r="F31" s="1">
        <v>119579.76</v>
      </c>
    </row>
    <row r="32" spans="1:6" x14ac:dyDescent="0.25">
      <c r="A32" s="4">
        <v>45673</v>
      </c>
      <c r="B32" t="s">
        <v>63</v>
      </c>
      <c r="C32" t="s">
        <v>64</v>
      </c>
      <c r="D32" t="s">
        <v>22</v>
      </c>
      <c r="E32" t="s">
        <v>23</v>
      </c>
      <c r="F32" s="1">
        <v>36661.21</v>
      </c>
    </row>
    <row r="33" spans="1:6" x14ac:dyDescent="0.25">
      <c r="A33" s="4">
        <v>45673</v>
      </c>
      <c r="B33" t="s">
        <v>87</v>
      </c>
      <c r="C33" t="s">
        <v>88</v>
      </c>
      <c r="D33" t="s">
        <v>89</v>
      </c>
      <c r="E33" t="s">
        <v>5</v>
      </c>
      <c r="F33" s="1">
        <v>50756.32</v>
      </c>
    </row>
    <row r="34" spans="1:6" x14ac:dyDescent="0.25">
      <c r="A34" s="4">
        <v>45674</v>
      </c>
      <c r="B34" t="s">
        <v>90</v>
      </c>
      <c r="C34" t="s">
        <v>91</v>
      </c>
      <c r="D34" t="s">
        <v>92</v>
      </c>
      <c r="E34" t="s">
        <v>37</v>
      </c>
      <c r="F34" s="1">
        <v>120351.59</v>
      </c>
    </row>
    <row r="35" spans="1:6" x14ac:dyDescent="0.25">
      <c r="A35" s="4">
        <v>45675</v>
      </c>
      <c r="B35" t="s">
        <v>93</v>
      </c>
      <c r="C35" t="s">
        <v>94</v>
      </c>
      <c r="D35" t="s">
        <v>16</v>
      </c>
      <c r="E35" t="s">
        <v>7</v>
      </c>
      <c r="F35" s="1">
        <v>138344.54</v>
      </c>
    </row>
    <row r="36" spans="1:6" x14ac:dyDescent="0.25">
      <c r="A36" s="4">
        <v>45676</v>
      </c>
      <c r="B36" t="s">
        <v>6</v>
      </c>
      <c r="C36" t="s">
        <v>77</v>
      </c>
      <c r="D36" t="s">
        <v>78</v>
      </c>
      <c r="E36" t="s">
        <v>7</v>
      </c>
      <c r="F36" s="1">
        <v>136306.26</v>
      </c>
    </row>
    <row r="37" spans="1:6" x14ac:dyDescent="0.25">
      <c r="A37" s="4">
        <v>45676</v>
      </c>
      <c r="B37" t="s">
        <v>95</v>
      </c>
      <c r="C37" t="s">
        <v>96</v>
      </c>
      <c r="D37" t="s">
        <v>97</v>
      </c>
      <c r="E37" t="s">
        <v>5</v>
      </c>
      <c r="F37" s="1">
        <v>44836.04</v>
      </c>
    </row>
    <row r="38" spans="1:6" x14ac:dyDescent="0.25">
      <c r="A38" s="4">
        <v>45676</v>
      </c>
      <c r="B38" t="s">
        <v>98</v>
      </c>
      <c r="C38" t="s">
        <v>99</v>
      </c>
      <c r="D38" t="s">
        <v>59</v>
      </c>
      <c r="E38" t="s">
        <v>7</v>
      </c>
      <c r="F38" s="1">
        <v>93925.119999999995</v>
      </c>
    </row>
    <row r="39" spans="1:6" x14ac:dyDescent="0.25">
      <c r="A39" s="4">
        <v>45678</v>
      </c>
      <c r="B39" t="s">
        <v>100</v>
      </c>
      <c r="C39" t="s">
        <v>101</v>
      </c>
      <c r="D39" t="s">
        <v>92</v>
      </c>
      <c r="E39" t="s">
        <v>37</v>
      </c>
      <c r="F39" s="1">
        <v>25944.99</v>
      </c>
    </row>
    <row r="40" spans="1:6" x14ac:dyDescent="0.25">
      <c r="A40" s="4">
        <v>45679</v>
      </c>
      <c r="B40" t="s">
        <v>83</v>
      </c>
      <c r="C40" t="s">
        <v>84</v>
      </c>
      <c r="D40" t="s">
        <v>22</v>
      </c>
      <c r="E40" t="s">
        <v>23</v>
      </c>
      <c r="F40" s="1">
        <v>121899.01</v>
      </c>
    </row>
    <row r="41" spans="1:6" x14ac:dyDescent="0.25">
      <c r="A41" s="4">
        <v>45679</v>
      </c>
      <c r="B41" t="s">
        <v>102</v>
      </c>
      <c r="C41" t="s">
        <v>103</v>
      </c>
      <c r="D41" t="s">
        <v>104</v>
      </c>
      <c r="E41" t="s">
        <v>7</v>
      </c>
      <c r="F41" s="1">
        <v>60509.84</v>
      </c>
    </row>
    <row r="42" spans="1:6" x14ac:dyDescent="0.25">
      <c r="A42" s="4">
        <v>45679</v>
      </c>
      <c r="B42" t="s">
        <v>98</v>
      </c>
      <c r="C42" t="s">
        <v>99</v>
      </c>
      <c r="D42" t="s">
        <v>59</v>
      </c>
      <c r="E42" t="s">
        <v>7</v>
      </c>
      <c r="F42" s="1">
        <v>56118.95</v>
      </c>
    </row>
    <row r="43" spans="1:6" x14ac:dyDescent="0.25">
      <c r="A43" s="4">
        <v>45680</v>
      </c>
      <c r="B43" t="s">
        <v>105</v>
      </c>
      <c r="C43" t="s">
        <v>106</v>
      </c>
      <c r="D43" t="s">
        <v>104</v>
      </c>
      <c r="E43" t="s">
        <v>7</v>
      </c>
      <c r="F43" s="1">
        <v>58665.02</v>
      </c>
    </row>
    <row r="44" spans="1:6" x14ac:dyDescent="0.25">
      <c r="A44" s="4">
        <v>45680</v>
      </c>
      <c r="B44" t="s">
        <v>81</v>
      </c>
      <c r="C44" t="s">
        <v>82</v>
      </c>
      <c r="D44" t="s">
        <v>22</v>
      </c>
      <c r="E44" t="s">
        <v>23</v>
      </c>
      <c r="F44" s="1">
        <v>78099.289999999994</v>
      </c>
    </row>
    <row r="45" spans="1:6" x14ac:dyDescent="0.25">
      <c r="A45" s="4">
        <v>45680</v>
      </c>
      <c r="B45" t="s">
        <v>93</v>
      </c>
      <c r="C45" t="s">
        <v>94</v>
      </c>
      <c r="D45" t="s">
        <v>16</v>
      </c>
      <c r="E45" t="s">
        <v>7</v>
      </c>
      <c r="F45" s="1">
        <v>18772.73</v>
      </c>
    </row>
    <row r="46" spans="1:6" x14ac:dyDescent="0.25">
      <c r="A46" s="4">
        <v>45680</v>
      </c>
      <c r="B46" t="s">
        <v>107</v>
      </c>
      <c r="C46" t="s">
        <v>108</v>
      </c>
      <c r="D46" t="s">
        <v>19</v>
      </c>
      <c r="E46" t="s">
        <v>5</v>
      </c>
      <c r="F46" s="1">
        <v>104399.27</v>
      </c>
    </row>
    <row r="47" spans="1:6" x14ac:dyDescent="0.25">
      <c r="A47" s="4">
        <v>45681</v>
      </c>
      <c r="B47" t="s">
        <v>34</v>
      </c>
      <c r="C47" t="s">
        <v>35</v>
      </c>
      <c r="D47" t="s">
        <v>36</v>
      </c>
      <c r="E47" t="s">
        <v>37</v>
      </c>
      <c r="F47" s="1">
        <v>10844.92</v>
      </c>
    </row>
    <row r="48" spans="1:6" x14ac:dyDescent="0.25">
      <c r="A48" s="4">
        <v>45681</v>
      </c>
      <c r="B48" t="s">
        <v>109</v>
      </c>
      <c r="C48" t="s">
        <v>110</v>
      </c>
      <c r="D48" t="s">
        <v>111</v>
      </c>
      <c r="E48" t="s">
        <v>5</v>
      </c>
      <c r="F48" s="1">
        <v>22626.799999999999</v>
      </c>
    </row>
    <row r="49" spans="1:6" x14ac:dyDescent="0.25">
      <c r="A49" s="4">
        <v>45683</v>
      </c>
      <c r="B49" t="s">
        <v>112</v>
      </c>
      <c r="C49" t="s">
        <v>82</v>
      </c>
      <c r="D49" t="s">
        <v>22</v>
      </c>
      <c r="E49" t="s">
        <v>23</v>
      </c>
      <c r="F49" s="1">
        <v>14108.27</v>
      </c>
    </row>
    <row r="50" spans="1:6" x14ac:dyDescent="0.25">
      <c r="A50" s="4">
        <v>45683</v>
      </c>
      <c r="B50" t="s">
        <v>10</v>
      </c>
      <c r="C50" t="s">
        <v>113</v>
      </c>
      <c r="D50" t="s">
        <v>59</v>
      </c>
      <c r="E50" t="s">
        <v>7</v>
      </c>
      <c r="F50" s="1">
        <v>136738.73000000001</v>
      </c>
    </row>
    <row r="51" spans="1:6" x14ac:dyDescent="0.25">
      <c r="A51" s="4">
        <v>45684</v>
      </c>
      <c r="B51" t="s">
        <v>79</v>
      </c>
      <c r="C51" t="s">
        <v>80</v>
      </c>
      <c r="D51" t="s">
        <v>59</v>
      </c>
      <c r="E51" t="s">
        <v>7</v>
      </c>
      <c r="F51" s="1">
        <v>126759.6</v>
      </c>
    </row>
    <row r="52" spans="1:6" x14ac:dyDescent="0.25">
      <c r="A52" s="4">
        <v>45685</v>
      </c>
      <c r="B52" t="s">
        <v>114</v>
      </c>
      <c r="C52" t="s">
        <v>115</v>
      </c>
      <c r="D52" t="s">
        <v>59</v>
      </c>
      <c r="E52" t="s">
        <v>7</v>
      </c>
      <c r="F52" s="1">
        <v>60498.19</v>
      </c>
    </row>
    <row r="53" spans="1:6" x14ac:dyDescent="0.25">
      <c r="A53" s="4">
        <v>45685</v>
      </c>
      <c r="B53" t="s">
        <v>68</v>
      </c>
      <c r="C53" t="s">
        <v>69</v>
      </c>
      <c r="D53" t="s">
        <v>22</v>
      </c>
      <c r="E53" t="s">
        <v>23</v>
      </c>
      <c r="F53" s="1">
        <v>146198.65</v>
      </c>
    </row>
    <row r="54" spans="1:6" x14ac:dyDescent="0.25">
      <c r="A54" s="4">
        <v>45686</v>
      </c>
      <c r="B54" t="s">
        <v>83</v>
      </c>
      <c r="C54" t="s">
        <v>84</v>
      </c>
      <c r="D54" t="s">
        <v>22</v>
      </c>
      <c r="E54" t="s">
        <v>23</v>
      </c>
      <c r="F54" s="1">
        <v>112519.09</v>
      </c>
    </row>
    <row r="55" spans="1:6" x14ac:dyDescent="0.25">
      <c r="A55" s="4">
        <v>45689</v>
      </c>
      <c r="B55" t="s">
        <v>116</v>
      </c>
      <c r="C55" t="s">
        <v>77</v>
      </c>
      <c r="D55" t="s">
        <v>78</v>
      </c>
      <c r="E55" t="s">
        <v>7</v>
      </c>
      <c r="F55" s="1">
        <v>57105.58</v>
      </c>
    </row>
    <row r="56" spans="1:6" x14ac:dyDescent="0.25">
      <c r="A56" s="4">
        <v>45690</v>
      </c>
      <c r="B56" t="s">
        <v>117</v>
      </c>
      <c r="C56" t="s">
        <v>118</v>
      </c>
      <c r="D56" t="s">
        <v>22</v>
      </c>
      <c r="E56" t="s">
        <v>23</v>
      </c>
      <c r="F56" s="1">
        <v>70543.62</v>
      </c>
    </row>
    <row r="57" spans="1:6" x14ac:dyDescent="0.25">
      <c r="A57" s="4">
        <v>45690</v>
      </c>
      <c r="B57" t="s">
        <v>32</v>
      </c>
      <c r="C57" t="s">
        <v>33</v>
      </c>
      <c r="D57" t="s">
        <v>22</v>
      </c>
      <c r="E57" t="s">
        <v>23</v>
      </c>
      <c r="F57" s="1">
        <v>136228.25</v>
      </c>
    </row>
    <row r="58" spans="1:6" x14ac:dyDescent="0.25">
      <c r="A58" s="4">
        <v>45690</v>
      </c>
      <c r="B58" t="s">
        <v>116</v>
      </c>
      <c r="C58" t="s">
        <v>77</v>
      </c>
      <c r="D58" t="s">
        <v>78</v>
      </c>
      <c r="E58" t="s">
        <v>7</v>
      </c>
      <c r="F58" s="1">
        <v>4258.22</v>
      </c>
    </row>
    <row r="59" spans="1:6" x14ac:dyDescent="0.25">
      <c r="A59" s="4">
        <v>45691</v>
      </c>
      <c r="B59" t="s">
        <v>107</v>
      </c>
      <c r="C59" t="s">
        <v>108</v>
      </c>
      <c r="D59" t="s">
        <v>19</v>
      </c>
      <c r="E59" t="s">
        <v>5</v>
      </c>
      <c r="F59" s="1">
        <v>16889.88</v>
      </c>
    </row>
    <row r="60" spans="1:6" x14ac:dyDescent="0.25">
      <c r="A60" s="4">
        <v>45691</v>
      </c>
      <c r="B60" t="s">
        <v>119</v>
      </c>
      <c r="C60" t="s">
        <v>120</v>
      </c>
      <c r="D60" t="s">
        <v>22</v>
      </c>
      <c r="E60" t="s">
        <v>23</v>
      </c>
      <c r="F60" s="1">
        <v>110992.57</v>
      </c>
    </row>
    <row r="61" spans="1:6" x14ac:dyDescent="0.25">
      <c r="A61" s="4">
        <v>45693</v>
      </c>
      <c r="B61" t="s">
        <v>43</v>
      </c>
      <c r="C61" t="s">
        <v>44</v>
      </c>
      <c r="D61" t="s">
        <v>45</v>
      </c>
      <c r="E61" t="s">
        <v>37</v>
      </c>
      <c r="F61" s="1">
        <v>49501.62</v>
      </c>
    </row>
    <row r="62" spans="1:6" x14ac:dyDescent="0.25">
      <c r="A62" s="4">
        <v>45694</v>
      </c>
      <c r="B62" t="s">
        <v>121</v>
      </c>
      <c r="C62" t="s">
        <v>122</v>
      </c>
      <c r="D62" t="s">
        <v>22</v>
      </c>
      <c r="E62" t="s">
        <v>23</v>
      </c>
      <c r="F62" s="1">
        <v>77318.350000000006</v>
      </c>
    </row>
    <row r="63" spans="1:6" x14ac:dyDescent="0.25">
      <c r="A63" s="4">
        <v>45694</v>
      </c>
      <c r="B63" t="s">
        <v>123</v>
      </c>
      <c r="C63" t="s">
        <v>124</v>
      </c>
      <c r="D63" t="s">
        <v>22</v>
      </c>
      <c r="E63" t="s">
        <v>23</v>
      </c>
      <c r="F63" s="1">
        <v>72083.81</v>
      </c>
    </row>
    <row r="64" spans="1:6" x14ac:dyDescent="0.25">
      <c r="A64" s="4">
        <v>45696</v>
      </c>
      <c r="B64" t="s">
        <v>70</v>
      </c>
      <c r="C64" t="s">
        <v>71</v>
      </c>
      <c r="D64" t="s">
        <v>22</v>
      </c>
      <c r="E64" t="s">
        <v>23</v>
      </c>
      <c r="F64" s="1">
        <v>148306.78</v>
      </c>
    </row>
    <row r="65" spans="1:6" x14ac:dyDescent="0.25">
      <c r="A65" s="4">
        <v>45696</v>
      </c>
      <c r="B65" t="s">
        <v>87</v>
      </c>
      <c r="C65" t="s">
        <v>88</v>
      </c>
      <c r="D65" t="s">
        <v>89</v>
      </c>
      <c r="E65" t="s">
        <v>5</v>
      </c>
      <c r="F65" s="1">
        <v>54992.160000000003</v>
      </c>
    </row>
    <row r="66" spans="1:6" x14ac:dyDescent="0.25">
      <c r="A66" s="4">
        <v>45697</v>
      </c>
      <c r="B66" t="s">
        <v>125</v>
      </c>
      <c r="C66" t="s">
        <v>126</v>
      </c>
      <c r="D66" t="s">
        <v>59</v>
      </c>
      <c r="E66" t="s">
        <v>7</v>
      </c>
      <c r="F66" s="1">
        <v>33037.97</v>
      </c>
    </row>
    <row r="67" spans="1:6" x14ac:dyDescent="0.25">
      <c r="A67" s="4">
        <v>45698</v>
      </c>
      <c r="B67" t="s">
        <v>6</v>
      </c>
      <c r="C67" t="s">
        <v>77</v>
      </c>
      <c r="D67" t="s">
        <v>78</v>
      </c>
      <c r="E67" t="s">
        <v>7</v>
      </c>
      <c r="F67" s="1">
        <v>56817.49</v>
      </c>
    </row>
    <row r="68" spans="1:6" x14ac:dyDescent="0.25">
      <c r="A68" s="4">
        <v>45698</v>
      </c>
      <c r="B68" t="s">
        <v>127</v>
      </c>
      <c r="C68" t="s">
        <v>128</v>
      </c>
      <c r="D68" t="s">
        <v>111</v>
      </c>
      <c r="E68" t="s">
        <v>5</v>
      </c>
      <c r="F68" s="1">
        <v>122637.12</v>
      </c>
    </row>
    <row r="69" spans="1:6" x14ac:dyDescent="0.25">
      <c r="A69" s="4">
        <v>45699</v>
      </c>
      <c r="B69" t="s">
        <v>32</v>
      </c>
      <c r="C69" t="s">
        <v>33</v>
      </c>
      <c r="D69" t="s">
        <v>22</v>
      </c>
      <c r="E69" t="s">
        <v>23</v>
      </c>
      <c r="F69" s="1">
        <v>41378.06</v>
      </c>
    </row>
    <row r="70" spans="1:6" x14ac:dyDescent="0.25">
      <c r="A70" s="4">
        <v>45699</v>
      </c>
      <c r="B70" t="s">
        <v>76</v>
      </c>
      <c r="C70" t="s">
        <v>77</v>
      </c>
      <c r="D70" t="s">
        <v>78</v>
      </c>
      <c r="E70" t="s">
        <v>7</v>
      </c>
      <c r="F70" s="1">
        <v>11457.59</v>
      </c>
    </row>
    <row r="71" spans="1:6" x14ac:dyDescent="0.25">
      <c r="A71" s="4">
        <v>45701</v>
      </c>
      <c r="B71" t="s">
        <v>43</v>
      </c>
      <c r="C71" t="s">
        <v>44</v>
      </c>
      <c r="D71" t="s">
        <v>45</v>
      </c>
      <c r="E71" t="s">
        <v>37</v>
      </c>
      <c r="F71" s="1">
        <v>25193.93</v>
      </c>
    </row>
    <row r="72" spans="1:6" x14ac:dyDescent="0.25">
      <c r="A72" s="4">
        <v>45701</v>
      </c>
      <c r="B72" t="s">
        <v>129</v>
      </c>
      <c r="C72" t="s">
        <v>130</v>
      </c>
      <c r="D72" t="s">
        <v>131</v>
      </c>
      <c r="E72" t="s">
        <v>5</v>
      </c>
      <c r="F72" s="1">
        <v>35226.379999999997</v>
      </c>
    </row>
    <row r="73" spans="1:6" x14ac:dyDescent="0.25">
      <c r="A73" s="4">
        <v>45702</v>
      </c>
      <c r="B73" t="s">
        <v>53</v>
      </c>
      <c r="C73" t="s">
        <v>54</v>
      </c>
      <c r="D73" t="s">
        <v>55</v>
      </c>
      <c r="E73" t="s">
        <v>56</v>
      </c>
      <c r="F73" s="1">
        <v>38026.61</v>
      </c>
    </row>
    <row r="74" spans="1:6" x14ac:dyDescent="0.25">
      <c r="A74" s="4">
        <v>45704</v>
      </c>
      <c r="B74" t="s">
        <v>27</v>
      </c>
      <c r="C74" t="s">
        <v>28</v>
      </c>
      <c r="D74" t="s">
        <v>29</v>
      </c>
      <c r="E74" t="s">
        <v>5</v>
      </c>
      <c r="F74" s="1">
        <v>16082.25</v>
      </c>
    </row>
    <row r="75" spans="1:6" x14ac:dyDescent="0.25">
      <c r="A75" s="4">
        <v>45704</v>
      </c>
      <c r="B75" t="s">
        <v>132</v>
      </c>
      <c r="C75" t="s">
        <v>133</v>
      </c>
      <c r="D75" t="s">
        <v>22</v>
      </c>
      <c r="E75" t="s">
        <v>23</v>
      </c>
      <c r="F75" s="1">
        <v>99734.66</v>
      </c>
    </row>
    <row r="76" spans="1:6" x14ac:dyDescent="0.25">
      <c r="A76" s="4">
        <v>45705</v>
      </c>
      <c r="B76" t="s">
        <v>93</v>
      </c>
      <c r="C76" t="s">
        <v>94</v>
      </c>
      <c r="D76" t="s">
        <v>16</v>
      </c>
      <c r="E76" t="s">
        <v>7</v>
      </c>
      <c r="F76" s="1">
        <v>90250.4</v>
      </c>
    </row>
    <row r="77" spans="1:6" x14ac:dyDescent="0.25">
      <c r="A77" s="4">
        <v>45706</v>
      </c>
      <c r="B77" t="s">
        <v>43</v>
      </c>
      <c r="C77" t="s">
        <v>44</v>
      </c>
      <c r="D77" t="s">
        <v>45</v>
      </c>
      <c r="E77" t="s">
        <v>37</v>
      </c>
      <c r="F77" s="1">
        <v>146745.51</v>
      </c>
    </row>
    <row r="78" spans="1:6" x14ac:dyDescent="0.25">
      <c r="A78" s="4">
        <v>45706</v>
      </c>
      <c r="B78" t="s">
        <v>134</v>
      </c>
      <c r="C78" t="s">
        <v>135</v>
      </c>
      <c r="D78" t="s">
        <v>62</v>
      </c>
      <c r="E78" t="s">
        <v>37</v>
      </c>
      <c r="F78" s="1">
        <v>16683.52</v>
      </c>
    </row>
    <row r="79" spans="1:6" x14ac:dyDescent="0.25">
      <c r="A79" s="4">
        <v>45707</v>
      </c>
      <c r="B79" t="s">
        <v>70</v>
      </c>
      <c r="C79" t="s">
        <v>71</v>
      </c>
      <c r="D79" t="s">
        <v>22</v>
      </c>
      <c r="E79" t="s">
        <v>23</v>
      </c>
      <c r="F79" s="1">
        <v>27357.360000000001</v>
      </c>
    </row>
    <row r="80" spans="1:6" x14ac:dyDescent="0.25">
      <c r="A80" s="4">
        <v>45707</v>
      </c>
      <c r="B80" t="s">
        <v>136</v>
      </c>
      <c r="C80" t="s">
        <v>137</v>
      </c>
      <c r="D80" t="s">
        <v>138</v>
      </c>
      <c r="E80" t="s">
        <v>5</v>
      </c>
      <c r="F80" s="1">
        <v>143629.51999999999</v>
      </c>
    </row>
    <row r="81" spans="1:6" x14ac:dyDescent="0.25">
      <c r="A81" s="4">
        <v>45708</v>
      </c>
      <c r="B81" t="s">
        <v>43</v>
      </c>
      <c r="C81" t="s">
        <v>44</v>
      </c>
      <c r="D81" t="s">
        <v>45</v>
      </c>
      <c r="E81" t="s">
        <v>37</v>
      </c>
      <c r="F81" s="1">
        <v>89101.09</v>
      </c>
    </row>
    <row r="82" spans="1:6" x14ac:dyDescent="0.25">
      <c r="A82" s="4">
        <v>45708</v>
      </c>
      <c r="B82" t="s">
        <v>72</v>
      </c>
      <c r="C82" t="s">
        <v>73</v>
      </c>
      <c r="D82" t="s">
        <v>22</v>
      </c>
      <c r="E82" t="s">
        <v>23</v>
      </c>
      <c r="F82" s="1">
        <v>34670.85</v>
      </c>
    </row>
    <row r="83" spans="1:6" x14ac:dyDescent="0.25">
      <c r="A83" s="4">
        <v>45709</v>
      </c>
      <c r="B83" t="s">
        <v>60</v>
      </c>
      <c r="C83" t="s">
        <v>61</v>
      </c>
      <c r="D83" t="s">
        <v>62</v>
      </c>
      <c r="E83" t="s">
        <v>37</v>
      </c>
      <c r="F83" s="1">
        <v>114589.3</v>
      </c>
    </row>
    <row r="84" spans="1:6" x14ac:dyDescent="0.25">
      <c r="A84" s="4">
        <v>45709</v>
      </c>
      <c r="B84" t="s">
        <v>139</v>
      </c>
      <c r="C84" t="s">
        <v>140</v>
      </c>
      <c r="D84" t="s">
        <v>26</v>
      </c>
      <c r="E84" t="s">
        <v>7</v>
      </c>
      <c r="F84" s="1">
        <v>109502.53</v>
      </c>
    </row>
    <row r="85" spans="1:6" x14ac:dyDescent="0.25">
      <c r="A85" s="4">
        <v>45710</v>
      </c>
      <c r="B85" t="s">
        <v>136</v>
      </c>
      <c r="C85" t="s">
        <v>137</v>
      </c>
      <c r="D85" t="s">
        <v>138</v>
      </c>
      <c r="E85" t="s">
        <v>5</v>
      </c>
      <c r="F85" s="1">
        <v>69266.61</v>
      </c>
    </row>
    <row r="86" spans="1:6" x14ac:dyDescent="0.25">
      <c r="A86" s="4">
        <v>45713</v>
      </c>
      <c r="B86" t="s">
        <v>114</v>
      </c>
      <c r="C86" t="s">
        <v>115</v>
      </c>
      <c r="D86" t="s">
        <v>59</v>
      </c>
      <c r="E86" t="s">
        <v>7</v>
      </c>
      <c r="F86" s="1">
        <v>33978.699999999997</v>
      </c>
    </row>
    <row r="87" spans="1:6" x14ac:dyDescent="0.25">
      <c r="A87" s="4">
        <v>45713</v>
      </c>
      <c r="B87" t="s">
        <v>119</v>
      </c>
      <c r="C87" t="s">
        <v>120</v>
      </c>
      <c r="D87" t="s">
        <v>22</v>
      </c>
      <c r="E87" t="s">
        <v>23</v>
      </c>
      <c r="F87" s="1">
        <v>125632.14</v>
      </c>
    </row>
    <row r="88" spans="1:6" x14ac:dyDescent="0.25">
      <c r="A88" s="4">
        <v>45715</v>
      </c>
      <c r="B88" t="s">
        <v>141</v>
      </c>
      <c r="C88" t="s">
        <v>142</v>
      </c>
      <c r="D88" t="s">
        <v>22</v>
      </c>
      <c r="E88" t="s">
        <v>23</v>
      </c>
      <c r="F88" s="1">
        <v>118452.53</v>
      </c>
    </row>
    <row r="89" spans="1:6" x14ac:dyDescent="0.25">
      <c r="A89" s="4">
        <v>45716</v>
      </c>
      <c r="B89" t="s">
        <v>41</v>
      </c>
      <c r="C89" t="s">
        <v>42</v>
      </c>
      <c r="D89" t="s">
        <v>22</v>
      </c>
      <c r="E89" t="s">
        <v>23</v>
      </c>
      <c r="F89" s="1">
        <v>63048.9</v>
      </c>
    </row>
    <row r="90" spans="1:6" x14ac:dyDescent="0.25">
      <c r="A90" s="4">
        <v>45716</v>
      </c>
      <c r="B90" t="s">
        <v>143</v>
      </c>
      <c r="C90" t="s">
        <v>144</v>
      </c>
      <c r="D90" t="s">
        <v>22</v>
      </c>
      <c r="E90" t="s">
        <v>23</v>
      </c>
      <c r="F90" s="1">
        <v>93364.3</v>
      </c>
    </row>
    <row r="91" spans="1:6" x14ac:dyDescent="0.25">
      <c r="A91" s="4">
        <v>45716</v>
      </c>
      <c r="B91" t="s">
        <v>79</v>
      </c>
      <c r="C91" t="s">
        <v>80</v>
      </c>
      <c r="D91" t="s">
        <v>59</v>
      </c>
      <c r="E91" t="s">
        <v>7</v>
      </c>
      <c r="F91" s="1">
        <v>7827.18</v>
      </c>
    </row>
    <row r="92" spans="1:6" x14ac:dyDescent="0.25">
      <c r="A92" s="4">
        <v>45716</v>
      </c>
      <c r="B92" t="s">
        <v>121</v>
      </c>
      <c r="C92" t="s">
        <v>122</v>
      </c>
      <c r="D92" t="s">
        <v>22</v>
      </c>
      <c r="E92" t="s">
        <v>23</v>
      </c>
      <c r="F92" s="1">
        <v>99894.02</v>
      </c>
    </row>
    <row r="93" spans="1:6" x14ac:dyDescent="0.25">
      <c r="A93" s="4">
        <v>45716</v>
      </c>
      <c r="B93" t="s">
        <v>76</v>
      </c>
      <c r="C93" t="s">
        <v>77</v>
      </c>
      <c r="D93" t="s">
        <v>78</v>
      </c>
      <c r="E93" t="s">
        <v>7</v>
      </c>
      <c r="F93" s="1">
        <v>41929.1</v>
      </c>
    </row>
    <row r="94" spans="1:6" x14ac:dyDescent="0.25">
      <c r="A94" s="4">
        <v>45717</v>
      </c>
      <c r="B94" t="s">
        <v>27</v>
      </c>
      <c r="C94" t="s">
        <v>28</v>
      </c>
      <c r="D94" t="s">
        <v>29</v>
      </c>
      <c r="E94" t="s">
        <v>5</v>
      </c>
      <c r="F94" s="1">
        <v>111341.59</v>
      </c>
    </row>
    <row r="95" spans="1:6" x14ac:dyDescent="0.25">
      <c r="A95" s="4">
        <v>45718</v>
      </c>
      <c r="B95" t="s">
        <v>79</v>
      </c>
      <c r="C95" t="s">
        <v>80</v>
      </c>
      <c r="D95" t="s">
        <v>59</v>
      </c>
      <c r="E95" t="s">
        <v>7</v>
      </c>
      <c r="F95" s="1">
        <v>88324.54</v>
      </c>
    </row>
    <row r="96" spans="1:6" x14ac:dyDescent="0.25">
      <c r="A96" s="4">
        <v>45718</v>
      </c>
      <c r="B96" t="s">
        <v>85</v>
      </c>
      <c r="C96" t="s">
        <v>86</v>
      </c>
      <c r="D96" t="s">
        <v>22</v>
      </c>
      <c r="E96" t="s">
        <v>23</v>
      </c>
      <c r="F96" s="1">
        <v>40651.81</v>
      </c>
    </row>
    <row r="97" spans="1:6" x14ac:dyDescent="0.25">
      <c r="A97" s="4">
        <v>45718</v>
      </c>
      <c r="B97" t="s">
        <v>145</v>
      </c>
      <c r="C97" t="s">
        <v>31</v>
      </c>
      <c r="D97" t="s">
        <v>22</v>
      </c>
      <c r="E97" t="s">
        <v>23</v>
      </c>
      <c r="F97" s="1">
        <v>86934.17</v>
      </c>
    </row>
    <row r="98" spans="1:6" x14ac:dyDescent="0.25">
      <c r="A98" s="4">
        <v>45720</v>
      </c>
      <c r="B98" t="s">
        <v>146</v>
      </c>
      <c r="C98" t="s">
        <v>147</v>
      </c>
      <c r="D98" t="s">
        <v>22</v>
      </c>
      <c r="E98" t="s">
        <v>23</v>
      </c>
      <c r="F98" s="1">
        <v>113097.55</v>
      </c>
    </row>
    <row r="99" spans="1:6" x14ac:dyDescent="0.25">
      <c r="A99" s="4">
        <v>45720</v>
      </c>
      <c r="B99" t="s">
        <v>141</v>
      </c>
      <c r="C99" t="s">
        <v>142</v>
      </c>
      <c r="D99" t="s">
        <v>22</v>
      </c>
      <c r="E99" t="s">
        <v>23</v>
      </c>
      <c r="F99" s="1">
        <v>41535.1</v>
      </c>
    </row>
    <row r="100" spans="1:6" x14ac:dyDescent="0.25">
      <c r="A100" s="4">
        <v>45720</v>
      </c>
      <c r="B100" t="s">
        <v>105</v>
      </c>
      <c r="C100" t="s">
        <v>106</v>
      </c>
      <c r="D100" t="s">
        <v>104</v>
      </c>
      <c r="E100" t="s">
        <v>7</v>
      </c>
      <c r="F100" s="1">
        <v>105705.92</v>
      </c>
    </row>
    <row r="101" spans="1:6" x14ac:dyDescent="0.25">
      <c r="A101" s="4">
        <v>45720</v>
      </c>
      <c r="B101" t="s">
        <v>109</v>
      </c>
      <c r="C101" t="s">
        <v>110</v>
      </c>
      <c r="D101" t="s">
        <v>111</v>
      </c>
      <c r="E101" t="s">
        <v>5</v>
      </c>
      <c r="F101" s="1">
        <v>45556.58</v>
      </c>
    </row>
    <row r="102" spans="1:6" x14ac:dyDescent="0.25">
      <c r="A102" s="4">
        <v>45722</v>
      </c>
      <c r="B102" t="s">
        <v>148</v>
      </c>
      <c r="C102" t="s">
        <v>149</v>
      </c>
      <c r="D102" t="s">
        <v>22</v>
      </c>
      <c r="E102" t="s">
        <v>23</v>
      </c>
      <c r="F102" s="1">
        <v>105667.46</v>
      </c>
    </row>
    <row r="103" spans="1:6" x14ac:dyDescent="0.25">
      <c r="A103" s="4">
        <v>45724</v>
      </c>
      <c r="B103" t="s">
        <v>60</v>
      </c>
      <c r="C103" t="s">
        <v>61</v>
      </c>
      <c r="D103" t="s">
        <v>62</v>
      </c>
      <c r="E103" t="s">
        <v>37</v>
      </c>
      <c r="F103" s="1">
        <v>36861.54</v>
      </c>
    </row>
    <row r="104" spans="1:6" x14ac:dyDescent="0.25">
      <c r="A104" s="4">
        <v>45724</v>
      </c>
      <c r="B104" t="s">
        <v>6</v>
      </c>
      <c r="C104" t="s">
        <v>77</v>
      </c>
      <c r="D104" t="s">
        <v>78</v>
      </c>
      <c r="E104" t="s">
        <v>7</v>
      </c>
      <c r="F104" s="1">
        <v>79956.52</v>
      </c>
    </row>
    <row r="105" spans="1:6" x14ac:dyDescent="0.25">
      <c r="A105" s="4">
        <v>45725</v>
      </c>
      <c r="B105" t="s">
        <v>148</v>
      </c>
      <c r="C105" t="s">
        <v>149</v>
      </c>
      <c r="D105" t="s">
        <v>22</v>
      </c>
      <c r="E105" t="s">
        <v>23</v>
      </c>
      <c r="F105" s="1">
        <v>125861.53</v>
      </c>
    </row>
    <row r="106" spans="1:6" x14ac:dyDescent="0.25">
      <c r="A106" s="4">
        <v>45725</v>
      </c>
      <c r="B106" t="s">
        <v>68</v>
      </c>
      <c r="C106" t="s">
        <v>69</v>
      </c>
      <c r="D106" t="s">
        <v>22</v>
      </c>
      <c r="E106" t="s">
        <v>23</v>
      </c>
      <c r="F106" s="1">
        <v>32502.03</v>
      </c>
    </row>
    <row r="107" spans="1:6" x14ac:dyDescent="0.25">
      <c r="A107" s="4">
        <v>45726</v>
      </c>
      <c r="B107" t="s">
        <v>129</v>
      </c>
      <c r="C107" t="s">
        <v>130</v>
      </c>
      <c r="D107" t="s">
        <v>131</v>
      </c>
      <c r="E107" t="s">
        <v>5</v>
      </c>
      <c r="F107" s="1">
        <v>106393.37</v>
      </c>
    </row>
    <row r="108" spans="1:6" x14ac:dyDescent="0.25">
      <c r="A108" s="4">
        <v>45726</v>
      </c>
      <c r="B108" t="s">
        <v>38</v>
      </c>
      <c r="C108" t="s">
        <v>39</v>
      </c>
      <c r="D108" t="s">
        <v>40</v>
      </c>
      <c r="E108" t="s">
        <v>7</v>
      </c>
      <c r="F108" s="1">
        <v>78145.31</v>
      </c>
    </row>
    <row r="109" spans="1:6" x14ac:dyDescent="0.25">
      <c r="A109" s="4">
        <v>45727</v>
      </c>
      <c r="B109" t="s">
        <v>10</v>
      </c>
      <c r="C109" t="s">
        <v>113</v>
      </c>
      <c r="D109" t="s">
        <v>59</v>
      </c>
      <c r="E109" t="s">
        <v>7</v>
      </c>
      <c r="F109" s="1">
        <v>38525.17</v>
      </c>
    </row>
    <row r="110" spans="1:6" x14ac:dyDescent="0.25">
      <c r="A110" s="4">
        <v>45729</v>
      </c>
      <c r="B110" t="s">
        <v>146</v>
      </c>
      <c r="C110" t="s">
        <v>147</v>
      </c>
      <c r="D110" t="s">
        <v>22</v>
      </c>
      <c r="E110" t="s">
        <v>23</v>
      </c>
      <c r="F110" s="1">
        <v>29996.11</v>
      </c>
    </row>
    <row r="111" spans="1:6" x14ac:dyDescent="0.25">
      <c r="A111" s="4">
        <v>45729</v>
      </c>
      <c r="B111" t="s">
        <v>139</v>
      </c>
      <c r="C111" t="s">
        <v>140</v>
      </c>
      <c r="D111" t="s">
        <v>26</v>
      </c>
      <c r="E111" t="s">
        <v>7</v>
      </c>
      <c r="F111" s="1">
        <v>112027.77</v>
      </c>
    </row>
    <row r="112" spans="1:6" x14ac:dyDescent="0.25">
      <c r="A112" s="4">
        <v>45731</v>
      </c>
      <c r="B112" t="s">
        <v>50</v>
      </c>
      <c r="C112" t="s">
        <v>51</v>
      </c>
      <c r="D112" t="s">
        <v>52</v>
      </c>
      <c r="E112" t="s">
        <v>7</v>
      </c>
      <c r="F112" s="1">
        <v>141830.65</v>
      </c>
    </row>
    <row r="113" spans="1:6" x14ac:dyDescent="0.25">
      <c r="A113" s="4">
        <v>45731</v>
      </c>
      <c r="B113" t="s">
        <v>132</v>
      </c>
      <c r="C113" t="s">
        <v>133</v>
      </c>
      <c r="D113" t="s">
        <v>22</v>
      </c>
      <c r="E113" t="s">
        <v>23</v>
      </c>
      <c r="F113" s="1">
        <v>116518.59</v>
      </c>
    </row>
    <row r="114" spans="1:6" x14ac:dyDescent="0.25">
      <c r="A114" s="4">
        <v>45732</v>
      </c>
      <c r="B114" t="s">
        <v>112</v>
      </c>
      <c r="C114" t="s">
        <v>82</v>
      </c>
      <c r="D114" t="s">
        <v>22</v>
      </c>
      <c r="E114" t="s">
        <v>23</v>
      </c>
      <c r="F114" s="1">
        <v>138336.56</v>
      </c>
    </row>
    <row r="115" spans="1:6" x14ac:dyDescent="0.25">
      <c r="A115" s="4">
        <v>45733</v>
      </c>
      <c r="B115" t="s">
        <v>150</v>
      </c>
      <c r="C115" t="s">
        <v>151</v>
      </c>
      <c r="D115" t="s">
        <v>152</v>
      </c>
      <c r="E115" t="s">
        <v>5</v>
      </c>
      <c r="F115" s="1">
        <v>115726.17</v>
      </c>
    </row>
    <row r="116" spans="1:6" x14ac:dyDescent="0.25">
      <c r="A116" s="4">
        <v>45734</v>
      </c>
      <c r="B116" t="s">
        <v>50</v>
      </c>
      <c r="C116" t="s">
        <v>51</v>
      </c>
      <c r="D116" t="s">
        <v>52</v>
      </c>
      <c r="E116" t="s">
        <v>7</v>
      </c>
      <c r="F116" s="1">
        <v>54408.88</v>
      </c>
    </row>
    <row r="117" spans="1:6" x14ac:dyDescent="0.25">
      <c r="A117" s="4">
        <v>45737</v>
      </c>
      <c r="B117" t="s">
        <v>32</v>
      </c>
      <c r="C117" t="s">
        <v>33</v>
      </c>
      <c r="D117" t="s">
        <v>22</v>
      </c>
      <c r="E117" t="s">
        <v>23</v>
      </c>
      <c r="F117" s="1">
        <v>87569.76</v>
      </c>
    </row>
    <row r="118" spans="1:6" x14ac:dyDescent="0.25">
      <c r="A118" s="4">
        <v>45740</v>
      </c>
      <c r="B118" t="s">
        <v>87</v>
      </c>
      <c r="C118" t="s">
        <v>88</v>
      </c>
      <c r="D118" t="s">
        <v>89</v>
      </c>
      <c r="E118" t="s">
        <v>5</v>
      </c>
      <c r="F118" s="1">
        <v>90813.85</v>
      </c>
    </row>
    <row r="119" spans="1:6" x14ac:dyDescent="0.25">
      <c r="A119" s="4">
        <v>45740</v>
      </c>
      <c r="B119" t="s">
        <v>65</v>
      </c>
      <c r="C119" t="s">
        <v>66</v>
      </c>
      <c r="D119" t="s">
        <v>67</v>
      </c>
      <c r="E119" t="s">
        <v>37</v>
      </c>
      <c r="F119" s="1">
        <v>90453</v>
      </c>
    </row>
    <row r="120" spans="1:6" x14ac:dyDescent="0.25">
      <c r="A120" s="4">
        <v>45740</v>
      </c>
      <c r="B120" t="s">
        <v>153</v>
      </c>
      <c r="C120" t="s">
        <v>154</v>
      </c>
      <c r="D120" t="s">
        <v>155</v>
      </c>
      <c r="E120" t="s">
        <v>56</v>
      </c>
      <c r="F120" s="1">
        <v>34785.300000000003</v>
      </c>
    </row>
    <row r="121" spans="1:6" x14ac:dyDescent="0.25">
      <c r="A121" s="4">
        <v>45741</v>
      </c>
      <c r="B121" t="s">
        <v>32</v>
      </c>
      <c r="C121" t="s">
        <v>33</v>
      </c>
      <c r="D121" t="s">
        <v>22</v>
      </c>
      <c r="E121" t="s">
        <v>23</v>
      </c>
      <c r="F121" s="1">
        <v>140493.67000000001</v>
      </c>
    </row>
    <row r="122" spans="1:6" x14ac:dyDescent="0.25">
      <c r="A122" s="4">
        <v>45741</v>
      </c>
      <c r="B122" t="s">
        <v>6</v>
      </c>
      <c r="C122" t="s">
        <v>77</v>
      </c>
      <c r="D122" t="s">
        <v>78</v>
      </c>
      <c r="E122" t="s">
        <v>7</v>
      </c>
      <c r="F122" s="1">
        <v>121632.01</v>
      </c>
    </row>
    <row r="123" spans="1:6" x14ac:dyDescent="0.25">
      <c r="A123" s="4">
        <v>45741</v>
      </c>
      <c r="B123" t="s">
        <v>43</v>
      </c>
      <c r="C123" t="s">
        <v>44</v>
      </c>
      <c r="D123" t="s">
        <v>45</v>
      </c>
      <c r="E123" t="s">
        <v>37</v>
      </c>
      <c r="F123" s="1">
        <v>136090.81</v>
      </c>
    </row>
    <row r="124" spans="1:6" x14ac:dyDescent="0.25">
      <c r="A124" s="4">
        <v>45741</v>
      </c>
      <c r="B124" t="s">
        <v>156</v>
      </c>
      <c r="C124" t="s">
        <v>157</v>
      </c>
      <c r="D124" t="s">
        <v>158</v>
      </c>
      <c r="E124" t="s">
        <v>56</v>
      </c>
      <c r="F124" s="1">
        <v>72617.679999999993</v>
      </c>
    </row>
    <row r="125" spans="1:6" x14ac:dyDescent="0.25">
      <c r="A125" s="4">
        <v>45743</v>
      </c>
      <c r="B125" t="s">
        <v>2</v>
      </c>
      <c r="C125" t="s">
        <v>159</v>
      </c>
      <c r="D125" t="s">
        <v>160</v>
      </c>
      <c r="E125" t="s">
        <v>5</v>
      </c>
      <c r="F125" s="1">
        <v>77362.070000000007</v>
      </c>
    </row>
    <row r="126" spans="1:6" x14ac:dyDescent="0.25">
      <c r="A126" s="4">
        <v>45743</v>
      </c>
      <c r="B126" t="s">
        <v>72</v>
      </c>
      <c r="C126" t="s">
        <v>73</v>
      </c>
      <c r="D126" t="s">
        <v>22</v>
      </c>
      <c r="E126" t="s">
        <v>23</v>
      </c>
      <c r="F126" s="1">
        <v>75054.55</v>
      </c>
    </row>
    <row r="127" spans="1:6" x14ac:dyDescent="0.25">
      <c r="A127" s="4">
        <v>45743</v>
      </c>
      <c r="B127" t="s">
        <v>161</v>
      </c>
      <c r="C127" t="s">
        <v>162</v>
      </c>
      <c r="D127" t="s">
        <v>163</v>
      </c>
      <c r="E127" t="s">
        <v>37</v>
      </c>
      <c r="F127" s="1">
        <v>96064.76</v>
      </c>
    </row>
    <row r="128" spans="1:6" x14ac:dyDescent="0.25">
      <c r="A128" s="4">
        <v>45743</v>
      </c>
      <c r="B128" t="s">
        <v>17</v>
      </c>
      <c r="C128" t="s">
        <v>18</v>
      </c>
      <c r="D128" t="s">
        <v>19</v>
      </c>
      <c r="E128" t="s">
        <v>5</v>
      </c>
      <c r="F128" s="1">
        <v>79109.649999999994</v>
      </c>
    </row>
    <row r="129" spans="1:6" x14ac:dyDescent="0.25">
      <c r="A129" s="4">
        <v>45744</v>
      </c>
      <c r="B129" t="s">
        <v>116</v>
      </c>
      <c r="C129" t="s">
        <v>77</v>
      </c>
      <c r="D129" t="s">
        <v>78</v>
      </c>
      <c r="E129" t="s">
        <v>7</v>
      </c>
      <c r="F129" s="1">
        <v>31447.09</v>
      </c>
    </row>
    <row r="130" spans="1:6" x14ac:dyDescent="0.25">
      <c r="A130" s="4">
        <v>45745</v>
      </c>
      <c r="B130" t="s">
        <v>46</v>
      </c>
      <c r="C130" t="s">
        <v>47</v>
      </c>
      <c r="D130" t="s">
        <v>22</v>
      </c>
      <c r="E130" t="s">
        <v>23</v>
      </c>
      <c r="F130" s="1">
        <v>117306.73</v>
      </c>
    </row>
    <row r="131" spans="1:6" x14ac:dyDescent="0.25">
      <c r="A131" s="4">
        <v>45745</v>
      </c>
      <c r="B131" t="s">
        <v>72</v>
      </c>
      <c r="C131" t="s">
        <v>73</v>
      </c>
      <c r="D131" t="s">
        <v>22</v>
      </c>
      <c r="E131" t="s">
        <v>23</v>
      </c>
      <c r="F131" s="1">
        <v>65146.28</v>
      </c>
    </row>
    <row r="132" spans="1:6" x14ac:dyDescent="0.25">
      <c r="A132" s="4">
        <v>45746</v>
      </c>
      <c r="B132" t="s">
        <v>164</v>
      </c>
      <c r="C132" t="s">
        <v>165</v>
      </c>
      <c r="D132" t="s">
        <v>163</v>
      </c>
      <c r="E132" t="s">
        <v>37</v>
      </c>
      <c r="F132" s="1">
        <v>108231.05</v>
      </c>
    </row>
    <row r="133" spans="1:6" x14ac:dyDescent="0.25">
      <c r="A133" s="4">
        <v>45747</v>
      </c>
      <c r="B133" t="s">
        <v>166</v>
      </c>
      <c r="C133" t="s">
        <v>167</v>
      </c>
      <c r="D133" t="s">
        <v>22</v>
      </c>
      <c r="E133" t="s">
        <v>23</v>
      </c>
      <c r="F133" s="1">
        <v>100864.22</v>
      </c>
    </row>
    <row r="134" spans="1:6" x14ac:dyDescent="0.25">
      <c r="A134" s="4">
        <v>45748</v>
      </c>
      <c r="B134" t="s">
        <v>121</v>
      </c>
      <c r="C134" t="s">
        <v>122</v>
      </c>
      <c r="D134" t="s">
        <v>22</v>
      </c>
      <c r="E134" t="s">
        <v>23</v>
      </c>
      <c r="F134" s="1">
        <v>80693.87</v>
      </c>
    </row>
    <row r="135" spans="1:6" x14ac:dyDescent="0.25">
      <c r="A135" s="4">
        <v>45748</v>
      </c>
      <c r="B135" t="s">
        <v>107</v>
      </c>
      <c r="C135" t="s">
        <v>108</v>
      </c>
      <c r="D135" t="s">
        <v>19</v>
      </c>
      <c r="E135" t="s">
        <v>5</v>
      </c>
      <c r="F135" s="1">
        <v>139929.15</v>
      </c>
    </row>
    <row r="136" spans="1:6" x14ac:dyDescent="0.25">
      <c r="A136" s="4">
        <v>45752</v>
      </c>
      <c r="B136" t="s">
        <v>129</v>
      </c>
      <c r="C136" t="s">
        <v>130</v>
      </c>
      <c r="D136" t="s">
        <v>131</v>
      </c>
      <c r="E136" t="s">
        <v>5</v>
      </c>
      <c r="F136" s="1">
        <v>47147.57</v>
      </c>
    </row>
    <row r="137" spans="1:6" x14ac:dyDescent="0.25">
      <c r="A137" s="4">
        <v>45753</v>
      </c>
      <c r="B137" t="s">
        <v>72</v>
      </c>
      <c r="C137" t="s">
        <v>73</v>
      </c>
      <c r="D137" t="s">
        <v>22</v>
      </c>
      <c r="E137" t="s">
        <v>23</v>
      </c>
      <c r="F137" s="1">
        <v>83418.64</v>
      </c>
    </row>
    <row r="138" spans="1:6" x14ac:dyDescent="0.25">
      <c r="A138" s="4">
        <v>45753</v>
      </c>
      <c r="B138" t="s">
        <v>121</v>
      </c>
      <c r="C138" t="s">
        <v>122</v>
      </c>
      <c r="D138" t="s">
        <v>22</v>
      </c>
      <c r="E138" t="s">
        <v>23</v>
      </c>
      <c r="F138" s="1">
        <v>2035.43</v>
      </c>
    </row>
    <row r="139" spans="1:6" x14ac:dyDescent="0.25">
      <c r="A139" s="4">
        <v>45755</v>
      </c>
      <c r="B139" t="s">
        <v>85</v>
      </c>
      <c r="C139" t="s">
        <v>86</v>
      </c>
      <c r="D139" t="s">
        <v>22</v>
      </c>
      <c r="E139" t="s">
        <v>23</v>
      </c>
      <c r="F139" s="1">
        <v>98839.84</v>
      </c>
    </row>
    <row r="140" spans="1:6" x14ac:dyDescent="0.25">
      <c r="A140" s="4">
        <v>45755</v>
      </c>
      <c r="B140" t="s">
        <v>74</v>
      </c>
      <c r="C140" t="s">
        <v>75</v>
      </c>
      <c r="D140" t="s">
        <v>22</v>
      </c>
      <c r="E140" t="s">
        <v>23</v>
      </c>
      <c r="F140" s="1">
        <v>35955.160000000003</v>
      </c>
    </row>
    <row r="141" spans="1:6" x14ac:dyDescent="0.25">
      <c r="A141" s="4">
        <v>45756</v>
      </c>
      <c r="B141" t="s">
        <v>121</v>
      </c>
      <c r="C141" t="s">
        <v>122</v>
      </c>
      <c r="D141" t="s">
        <v>22</v>
      </c>
      <c r="E141" t="s">
        <v>23</v>
      </c>
      <c r="F141" s="1">
        <v>80954.48</v>
      </c>
    </row>
    <row r="142" spans="1:6" x14ac:dyDescent="0.25">
      <c r="A142" s="4">
        <v>45756</v>
      </c>
      <c r="B142" t="s">
        <v>141</v>
      </c>
      <c r="C142" t="s">
        <v>142</v>
      </c>
      <c r="D142" t="s">
        <v>22</v>
      </c>
      <c r="E142" t="s">
        <v>23</v>
      </c>
      <c r="F142" s="1">
        <v>141478.39000000001</v>
      </c>
    </row>
    <row r="143" spans="1:6" x14ac:dyDescent="0.25">
      <c r="A143" s="4">
        <v>45756</v>
      </c>
      <c r="B143" t="s">
        <v>2</v>
      </c>
      <c r="C143" t="s">
        <v>159</v>
      </c>
      <c r="D143" t="s">
        <v>160</v>
      </c>
      <c r="E143" t="s">
        <v>5</v>
      </c>
      <c r="F143" s="1">
        <v>132693.35999999999</v>
      </c>
    </row>
    <row r="144" spans="1:6" x14ac:dyDescent="0.25">
      <c r="A144" s="4">
        <v>45757</v>
      </c>
      <c r="B144" t="s">
        <v>129</v>
      </c>
      <c r="C144" t="s">
        <v>130</v>
      </c>
      <c r="D144" t="s">
        <v>131</v>
      </c>
      <c r="E144" t="s">
        <v>5</v>
      </c>
      <c r="F144" s="1">
        <v>111634.33</v>
      </c>
    </row>
    <row r="145" spans="1:6" x14ac:dyDescent="0.25">
      <c r="A145" s="4">
        <v>45758</v>
      </c>
      <c r="B145" t="s">
        <v>148</v>
      </c>
      <c r="C145" t="s">
        <v>149</v>
      </c>
      <c r="D145" t="s">
        <v>22</v>
      </c>
      <c r="E145" t="s">
        <v>23</v>
      </c>
      <c r="F145" s="1">
        <v>125728.23</v>
      </c>
    </row>
    <row r="146" spans="1:6" x14ac:dyDescent="0.25">
      <c r="A146" s="4">
        <v>45758</v>
      </c>
      <c r="B146" t="s">
        <v>43</v>
      </c>
      <c r="C146" t="s">
        <v>44</v>
      </c>
      <c r="D146" t="s">
        <v>45</v>
      </c>
      <c r="E146" t="s">
        <v>37</v>
      </c>
      <c r="F146" s="1">
        <v>22486.39</v>
      </c>
    </row>
    <row r="147" spans="1:6" x14ac:dyDescent="0.25">
      <c r="A147" s="4">
        <v>45758</v>
      </c>
      <c r="B147" t="s">
        <v>24</v>
      </c>
      <c r="C147" t="s">
        <v>25</v>
      </c>
      <c r="D147" t="s">
        <v>26</v>
      </c>
      <c r="E147" t="s">
        <v>7</v>
      </c>
      <c r="F147" s="1">
        <v>13439.82</v>
      </c>
    </row>
    <row r="148" spans="1:6" x14ac:dyDescent="0.25">
      <c r="A148" s="4">
        <v>45758</v>
      </c>
      <c r="B148" t="s">
        <v>121</v>
      </c>
      <c r="C148" t="s">
        <v>122</v>
      </c>
      <c r="D148" t="s">
        <v>22</v>
      </c>
      <c r="E148" t="s">
        <v>23</v>
      </c>
      <c r="F148" s="1">
        <v>91006.74</v>
      </c>
    </row>
    <row r="149" spans="1:6" x14ac:dyDescent="0.25">
      <c r="A149" s="4">
        <v>45759</v>
      </c>
      <c r="B149" t="s">
        <v>10</v>
      </c>
      <c r="C149" t="s">
        <v>113</v>
      </c>
      <c r="D149" t="s">
        <v>59</v>
      </c>
      <c r="E149" t="s">
        <v>7</v>
      </c>
      <c r="F149" s="1">
        <v>110447.5</v>
      </c>
    </row>
    <row r="150" spans="1:6" x14ac:dyDescent="0.25">
      <c r="A150" s="4">
        <v>45759</v>
      </c>
      <c r="B150" t="s">
        <v>65</v>
      </c>
      <c r="C150" t="s">
        <v>66</v>
      </c>
      <c r="D150" t="s">
        <v>67</v>
      </c>
      <c r="E150" t="s">
        <v>37</v>
      </c>
      <c r="F150" s="1">
        <v>48914.97</v>
      </c>
    </row>
    <row r="151" spans="1:6" x14ac:dyDescent="0.25">
      <c r="A151" s="4">
        <v>45759</v>
      </c>
      <c r="B151" t="s">
        <v>166</v>
      </c>
      <c r="C151" t="s">
        <v>167</v>
      </c>
      <c r="D151" t="s">
        <v>22</v>
      </c>
      <c r="E151" t="s">
        <v>23</v>
      </c>
      <c r="F151" s="1">
        <v>35706.080000000002</v>
      </c>
    </row>
    <row r="154" spans="1:6" x14ac:dyDescent="0.25">
      <c r="A154" s="2" t="s">
        <v>8</v>
      </c>
      <c r="B154" s="2"/>
      <c r="C154" s="2"/>
      <c r="D154" s="2"/>
      <c r="E154" s="2"/>
      <c r="F154">
        <f>COUNTIF(F2:F153,"&gt;0")</f>
        <v>150</v>
      </c>
    </row>
    <row r="155" spans="1:6" x14ac:dyDescent="0.25">
      <c r="A155" s="2" t="s">
        <v>9</v>
      </c>
      <c r="B155" s="2"/>
      <c r="C155" s="2"/>
      <c r="D155" s="2"/>
      <c r="E155" s="3"/>
      <c r="F155" s="1">
        <f>SUM(F2:F153)</f>
        <v>11626696.560000002</v>
      </c>
    </row>
    <row r="156" spans="1:6" x14ac:dyDescent="0.25">
      <c r="A156" t="s">
        <v>11</v>
      </c>
      <c r="E156" s="1"/>
      <c r="F156" s="1">
        <f>MEDIAN(F2:F153)</f>
        <v>78627.48</v>
      </c>
    </row>
    <row r="157" spans="1:6" x14ac:dyDescent="0.25">
      <c r="F157" s="1"/>
    </row>
  </sheetData>
  <pageMargins left="0.7" right="0.7" top="0.75" bottom="0.75" header="0.3" footer="0.3"/>
  <pageSetup orientation="portrait" horizontalDpi="0" verticalDpi="0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Dunlop</dc:creator>
  <cp:lastModifiedBy>Nathan Imse</cp:lastModifiedBy>
  <dcterms:created xsi:type="dcterms:W3CDTF">2025-04-17T15:39:57Z</dcterms:created>
  <dcterms:modified xsi:type="dcterms:W3CDTF">2025-11-26T22:46:23Z</dcterms:modified>
</cp:coreProperties>
</file>