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3_customer_service\"/>
    </mc:Choice>
  </mc:AlternateContent>
  <xr:revisionPtr revIDLastSave="0" documentId="13_ncr:1_{7052F057-D487-4880-B6AE-A8FD9ED71724}" xr6:coauthVersionLast="47" xr6:coauthVersionMax="47" xr10:uidLastSave="{00000000-0000-0000-0000-000000000000}"/>
  <bookViews>
    <workbookView xWindow="4530" yWindow="4530" windowWidth="19290" windowHeight="10320" xr2:uid="{1AD86F7E-BFBC-DE48-9B06-CEA524B8C96D}"/>
  </bookViews>
  <sheets>
    <sheet name="boat-maintenance-log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2" i="1" l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25" i="1"/>
  <c r="I24" i="1"/>
  <c r="I23" i="1"/>
  <c r="I22" i="1"/>
  <c r="I21" i="1"/>
  <c r="I20" i="1"/>
  <c r="I19" i="1"/>
  <c r="I18" i="1"/>
  <c r="I17" i="1"/>
  <c r="I16" i="1"/>
  <c r="I15" i="1"/>
  <c r="I35" i="1"/>
  <c r="I34" i="1"/>
  <c r="I33" i="1"/>
  <c r="I32" i="1"/>
  <c r="I31" i="1"/>
  <c r="I30" i="1"/>
  <c r="I29" i="1"/>
  <c r="I28" i="1"/>
  <c r="I46" i="1"/>
  <c r="I45" i="1"/>
  <c r="I44" i="1"/>
  <c r="I43" i="1"/>
  <c r="I42" i="1"/>
  <c r="I41" i="1"/>
  <c r="I40" i="1"/>
  <c r="I39" i="1"/>
  <c r="I38" i="1"/>
  <c r="I37" i="1"/>
  <c r="I36" i="1"/>
  <c r="I52" i="1"/>
  <c r="I51" i="1"/>
  <c r="I50" i="1"/>
  <c r="I49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78" i="1"/>
  <c r="I77" i="1"/>
  <c r="I76" i="1"/>
  <c r="I75" i="1"/>
  <c r="I74" i="1"/>
  <c r="I73" i="1"/>
  <c r="I72" i="1"/>
  <c r="I71" i="1"/>
  <c r="I70" i="1"/>
  <c r="I69" i="1"/>
  <c r="I90" i="1"/>
  <c r="I89" i="1"/>
  <c r="I88" i="1"/>
  <c r="I87" i="1"/>
  <c r="I86" i="1"/>
  <c r="I85" i="1"/>
  <c r="I84" i="1"/>
  <c r="I83" i="1"/>
  <c r="I82" i="1"/>
  <c r="I81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106" i="1"/>
  <c r="B3" i="1"/>
  <c r="B4" i="1" l="1"/>
</calcChain>
</file>

<file path=xl/sharedStrings.xml><?xml version="1.0" encoding="utf-8"?>
<sst xmlns="http://schemas.openxmlformats.org/spreadsheetml/2006/main" count="390" uniqueCount="93">
  <si>
    <t>Date</t>
  </si>
  <si>
    <t>Type</t>
  </si>
  <si>
    <t>Description</t>
  </si>
  <si>
    <t>Time</t>
  </si>
  <si>
    <t>Sched</t>
  </si>
  <si>
    <t>Sail replacement</t>
  </si>
  <si>
    <t>S</t>
  </si>
  <si>
    <t>N/A</t>
  </si>
  <si>
    <t>Rep</t>
  </si>
  <si>
    <t>Windlass repair</t>
  </si>
  <si>
    <t>Steering system repair</t>
  </si>
  <si>
    <t>F</t>
  </si>
  <si>
    <t>Water intrusion repair</t>
  </si>
  <si>
    <t>GH</t>
  </si>
  <si>
    <t>Rigging inspection</t>
  </si>
  <si>
    <t>ST</t>
  </si>
  <si>
    <t>Engine belt replacement</t>
  </si>
  <si>
    <t>Imp</t>
  </si>
  <si>
    <t>E</t>
  </si>
  <si>
    <t>Battery check and replacement</t>
  </si>
  <si>
    <t>BW</t>
  </si>
  <si>
    <t>Haulout and bottom paint</t>
  </si>
  <si>
    <t>Upgraded anchor and chain</t>
  </si>
  <si>
    <t>Seacock inspection</t>
  </si>
  <si>
    <t>GC</t>
  </si>
  <si>
    <t>Lifter rebuild</t>
  </si>
  <si>
    <t>GPS system repair</t>
  </si>
  <si>
    <t>Fuel injector rebuild</t>
  </si>
  <si>
    <t>Fuel filter change</t>
  </si>
  <si>
    <t>Installed new autopilot</t>
  </si>
  <si>
    <t>Watermaker repair</t>
  </si>
  <si>
    <t>Navigation light check</t>
  </si>
  <si>
    <t>Installed new wind generator</t>
  </si>
  <si>
    <t>Added solar panels</t>
  </si>
  <si>
    <t>Bilge pump repair</t>
  </si>
  <si>
    <t>Installed new GPS system</t>
  </si>
  <si>
    <t>Standing rigging replacement</t>
  </si>
  <si>
    <t>Installed new refrigeration system</t>
  </si>
  <si>
    <t>Added AIS system</t>
  </si>
  <si>
    <t>Deck leak repair</t>
  </si>
  <si>
    <t>Upgraded battery bank</t>
  </si>
  <si>
    <t>Added new cockpit cushions</t>
  </si>
  <si>
    <t>Hull cleaning and inspection</t>
  </si>
  <si>
    <t>Sail inspection and repair</t>
  </si>
  <si>
    <t>Upgraded navigation lights</t>
  </si>
  <si>
    <t>Added B&amp;G Zeus Chart Plotter</t>
  </si>
  <si>
    <t>Hull damage repair</t>
  </si>
  <si>
    <t>Radar system repair</t>
  </si>
  <si>
    <t>Installed new stereo system</t>
  </si>
  <si>
    <t>Water pump replacement</t>
  </si>
  <si>
    <t>Installed new depth sounder</t>
  </si>
  <si>
    <t>Winch servicing</t>
  </si>
  <si>
    <t>Anchor chain inspection</t>
  </si>
  <si>
    <t>Added watermaker</t>
  </si>
  <si>
    <t>Upgraded VHF radio</t>
  </si>
  <si>
    <t>Oil change and filter replacement</t>
  </si>
  <si>
    <t>Through-hull inspection</t>
  </si>
  <si>
    <t>Safety equipment inspection</t>
  </si>
  <si>
    <t>VHF radio repair</t>
  </si>
  <si>
    <t>Electrical system repair</t>
  </si>
  <si>
    <t>Propeller inspection and cleaning</t>
  </si>
  <si>
    <t>Engine
Hours</t>
  </si>
  <si>
    <t>Location / 
Vendor</t>
  </si>
  <si>
    <t>Parts
Cost</t>
  </si>
  <si>
    <t>Labor
Cost</t>
  </si>
  <si>
    <t>Total
Cost</t>
  </si>
  <si>
    <t>Maintenance Types</t>
  </si>
  <si>
    <t>Unscheduled Repair</t>
  </si>
  <si>
    <t>Scheduled / Planned Maintenance</t>
  </si>
  <si>
    <t>Improvements and Upgrades</t>
  </si>
  <si>
    <t>Self Performed</t>
  </si>
  <si>
    <t>Franklin Marine Maintenance</t>
  </si>
  <si>
    <t>Swantown</t>
  </si>
  <si>
    <t>Capaz Gig Harbor</t>
  </si>
  <si>
    <t>Gull Harbor</t>
  </si>
  <si>
    <t>BoatWorks</t>
  </si>
  <si>
    <t>Evergreen Rigging</t>
  </si>
  <si>
    <t>Totals</t>
  </si>
  <si>
    <t>Hours</t>
  </si>
  <si>
    <t>Cost</t>
  </si>
  <si>
    <t>Added battery monitor</t>
  </si>
  <si>
    <t>New wind instruments</t>
  </si>
  <si>
    <t>Replaced PFD Inflators</t>
  </si>
  <si>
    <t>Battery check and warranty replacement</t>
  </si>
  <si>
    <t>Upgraded anchor light</t>
  </si>
  <si>
    <t>Replaced charger with Inverter / Charger (Victron Multiplus)</t>
  </si>
  <si>
    <t>Added remote VHF Microphone (SH RAM)</t>
  </si>
  <si>
    <t>Upgraded windlass</t>
  </si>
  <si>
    <t>Replaced failing solar panels</t>
  </si>
  <si>
    <t>Added (more) solar panels</t>
  </si>
  <si>
    <t>Added cockpit copass</t>
  </si>
  <si>
    <t>Vendor Abbreviations</t>
  </si>
  <si>
    <t>Other vendors spelled out in Location /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</si>
</sst>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mm\-dd"/>
    <numFmt numFmtId="166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20" fontId="0" fillId="0" borderId="0" xfId="0" applyNumberFormat="1"/>
    <xf numFmtId="44" fontId="0" fillId="0" borderId="0" xfId="1" applyFont="1"/>
    <xf numFmtId="165" fontId="0" fillId="0" borderId="0" xfId="0" applyNumberFormat="1"/>
    <xf numFmtId="0" fontId="0" fillId="0" borderId="0" xfId="0" applyAlignment="1">
      <alignment horizontal="center"/>
    </xf>
    <xf numFmtId="0" fontId="16" fillId="11" borderId="0" xfId="21" applyFont="1"/>
    <xf numFmtId="2" fontId="0" fillId="0" borderId="0" xfId="0" applyNumberFormat="1"/>
    <xf numFmtId="0" fontId="16" fillId="16" borderId="0" xfId="26" applyFont="1"/>
    <xf numFmtId="164" fontId="16" fillId="16" borderId="0" xfId="26" applyNumberFormat="1" applyFont="1"/>
    <xf numFmtId="0" fontId="18" fillId="31" borderId="0" xfId="41" applyFont="1"/>
    <xf numFmtId="44" fontId="18" fillId="31" borderId="0" xfId="41" applyNumberFormat="1" applyFont="1"/>
    <xf numFmtId="0" fontId="19" fillId="30" borderId="0" xfId="40" applyFont="1" applyAlignment="1">
      <alignment horizontal="center" vertical="center"/>
    </xf>
    <xf numFmtId="0" fontId="19" fillId="30" borderId="0" xfId="40" applyFont="1" applyAlignment="1">
      <alignment horizontal="center" vertical="center" wrapText="1"/>
    </xf>
    <xf numFmtId="0" fontId="19" fillId="30" borderId="0" xfId="40" applyFont="1" applyAlignment="1">
      <alignment horizontal="center"/>
    </xf>
    <xf numFmtId="0" fontId="18" fillId="31" borderId="0" xfId="41" applyFont="1" applyAlignment="1">
      <alignment horizontal="center"/>
    </xf>
    <xf numFmtId="6" fontId="0" fillId="0" borderId="0" xfId="1" applyNumberFormat="1" applyFont="1"/>
    <xf numFmtId="8" fontId="0" fillId="0" borderId="0" xfId="1" applyNumberFormat="1" applyFont="1"/>
    <xf numFmtId="166" fontId="16" fillId="16" borderId="0" xfId="26" applyNumberFormat="1" applyFont="1"/>
    <xf numFmtId="0" fontId="16" fillId="11" borderId="0" xfId="2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5C47-A89C-7742-85D1-98CC57C41CFA}">
  <dimension ref="A2:L142"/>
  <sheetViews>
    <sheetView tabSelected="1" zoomScale="135" zoomScaleNormal="135" workbookViewId="0">
      <selection activeCell="D7" sqref="D7"/>
    </sheetView>
  </sheetViews>
  <sheetFormatPr defaultColWidth="11" defaultRowHeight="15.75" x14ac:dyDescent="0.25"/>
  <cols>
    <col min="1" max="1" width="12.875" customWidth="1"/>
    <col min="2" max="2" width="11.5" bestFit="1" customWidth="1"/>
    <col min="3" max="3" width="38.375" customWidth="1"/>
    <col min="4" max="4" width="17.5" customWidth="1"/>
    <col min="5" max="5" width="15.625" customWidth="1"/>
    <col min="6" max="6" width="8.875" customWidth="1"/>
    <col min="8" max="8" width="13.125" customWidth="1"/>
    <col min="9" max="9" width="14.125" customWidth="1"/>
  </cols>
  <sheetData>
    <row r="2" spans="1:12" x14ac:dyDescent="0.25">
      <c r="A2" s="7" t="s">
        <v>77</v>
      </c>
      <c r="B2" s="7"/>
      <c r="D2" s="5" t="s">
        <v>66</v>
      </c>
      <c r="E2" s="5"/>
      <c r="F2" s="5"/>
      <c r="G2" s="5"/>
      <c r="H2" s="5" t="s">
        <v>91</v>
      </c>
      <c r="I2" s="18"/>
      <c r="J2" s="18"/>
    </row>
    <row r="3" spans="1:12" x14ac:dyDescent="0.25">
      <c r="A3" s="7" t="s">
        <v>78</v>
      </c>
      <c r="B3" s="17">
        <f>SUM(F14:F149)*24</f>
        <v>575.51666666666688</v>
      </c>
      <c r="D3" s="5" t="s">
        <v>4</v>
      </c>
      <c r="E3" s="18" t="s">
        <v>68</v>
      </c>
      <c r="F3" s="18"/>
      <c r="G3" s="18"/>
      <c r="H3" s="5" t="s">
        <v>6</v>
      </c>
      <c r="I3" s="18" t="s">
        <v>70</v>
      </c>
      <c r="J3" s="18"/>
    </row>
    <row r="4" spans="1:12" x14ac:dyDescent="0.25">
      <c r="A4" s="7" t="s">
        <v>79</v>
      </c>
      <c r="B4" s="8">
        <f>SUM(I14:I149)</f>
        <v>56520.649999999994</v>
      </c>
      <c r="D4" s="5" t="s">
        <v>8</v>
      </c>
      <c r="E4" s="18" t="s">
        <v>67</v>
      </c>
      <c r="F4" s="18"/>
      <c r="G4" s="18"/>
      <c r="H4" s="5" t="s">
        <v>11</v>
      </c>
      <c r="I4" s="18" t="s">
        <v>71</v>
      </c>
      <c r="J4" s="18"/>
    </row>
    <row r="5" spans="1:12" x14ac:dyDescent="0.25">
      <c r="A5" s="7"/>
      <c r="B5" s="7"/>
      <c r="D5" s="5" t="s">
        <v>17</v>
      </c>
      <c r="E5" s="18" t="s">
        <v>69</v>
      </c>
      <c r="F5" s="18"/>
      <c r="G5" s="18"/>
      <c r="H5" s="5" t="s">
        <v>15</v>
      </c>
      <c r="I5" s="18" t="s">
        <v>72</v>
      </c>
      <c r="J5" s="18"/>
    </row>
    <row r="6" spans="1:12" x14ac:dyDescent="0.25">
      <c r="A6" s="7"/>
      <c r="B6" s="7"/>
      <c r="D6" s="5"/>
      <c r="E6" s="5"/>
      <c r="F6" s="5"/>
      <c r="G6" s="5"/>
      <c r="H6" s="5" t="s">
        <v>24</v>
      </c>
      <c r="I6" s="18" t="s">
        <v>73</v>
      </c>
      <c r="J6" s="18"/>
    </row>
    <row r="7" spans="1:12" x14ac:dyDescent="0.25">
      <c r="D7" s="5"/>
      <c r="E7" s="5"/>
      <c r="F7" s="5"/>
      <c r="G7" s="5"/>
      <c r="H7" s="5" t="s">
        <v>13</v>
      </c>
      <c r="I7" s="18" t="s">
        <v>74</v>
      </c>
      <c r="J7" s="18"/>
    </row>
    <row r="8" spans="1:12" x14ac:dyDescent="0.25">
      <c r="D8" s="5"/>
      <c r="E8" s="5"/>
      <c r="F8" s="5"/>
      <c r="G8" s="5"/>
      <c r="H8" s="5" t="s">
        <v>20</v>
      </c>
      <c r="I8" s="18" t="s">
        <v>75</v>
      </c>
      <c r="J8" s="18"/>
    </row>
    <row r="9" spans="1:12" x14ac:dyDescent="0.25">
      <c r="D9" s="5"/>
      <c r="E9" s="5"/>
      <c r="F9" s="5"/>
      <c r="G9" s="5"/>
      <c r="H9" s="5" t="s">
        <v>18</v>
      </c>
      <c r="I9" s="18" t="s">
        <v>76</v>
      </c>
      <c r="J9" s="18"/>
    </row>
    <row r="10" spans="1:12" x14ac:dyDescent="0.25">
      <c r="D10" s="5"/>
      <c r="E10" s="5"/>
      <c r="F10" s="5"/>
      <c r="G10" s="5"/>
      <c r="H10" s="5"/>
      <c r="I10" s="5"/>
      <c r="J10" s="5"/>
    </row>
    <row r="11" spans="1:12" x14ac:dyDescent="0.25">
      <c r="D11" s="5"/>
      <c r="E11" s="5"/>
      <c r="F11" s="5"/>
      <c r="G11" s="5"/>
      <c r="H11" s="5" t="s">
        <v>92</v>
      </c>
      <c r="I11" s="5"/>
      <c r="J11" s="5"/>
    </row>
    <row r="13" spans="1:12" s="13" customFormat="1" ht="52.5" x14ac:dyDescent="0.4">
      <c r="A13" s="11" t="s">
        <v>0</v>
      </c>
      <c r="B13" s="11" t="s">
        <v>1</v>
      </c>
      <c r="C13" s="11" t="s">
        <v>2</v>
      </c>
      <c r="D13" s="12" t="s">
        <v>62</v>
      </c>
      <c r="E13" s="12" t="s">
        <v>61</v>
      </c>
      <c r="F13" s="11" t="s">
        <v>3</v>
      </c>
      <c r="G13" s="12" t="s">
        <v>63</v>
      </c>
      <c r="H13" s="12" t="s">
        <v>64</v>
      </c>
      <c r="I13" s="12" t="s">
        <v>65</v>
      </c>
    </row>
    <row r="14" spans="1:12" s="9" customFormat="1" ht="21" x14ac:dyDescent="0.35">
      <c r="A14" s="9">
        <v>2018</v>
      </c>
      <c r="D14" s="14"/>
    </row>
    <row r="15" spans="1:12" x14ac:dyDescent="0.25">
      <c r="A15" s="3">
        <v>45714</v>
      </c>
      <c r="B15" t="s">
        <v>4</v>
      </c>
      <c r="C15" t="s">
        <v>5</v>
      </c>
      <c r="D15" s="4" t="s">
        <v>6</v>
      </c>
      <c r="E15">
        <v>356.6</v>
      </c>
      <c r="F15" s="1">
        <v>0.31111111111111112</v>
      </c>
      <c r="G15" s="2">
        <v>250.39</v>
      </c>
      <c r="H15" s="2" t="s">
        <v>7</v>
      </c>
      <c r="I15" s="2">
        <f t="shared" ref="I15:I25" si="0">SUM(G15:H15)</f>
        <v>250.39</v>
      </c>
      <c r="L15" s="6"/>
    </row>
    <row r="16" spans="1:12" x14ac:dyDescent="0.25">
      <c r="A16" s="3">
        <v>45726</v>
      </c>
      <c r="B16" t="s">
        <v>4</v>
      </c>
      <c r="C16" t="s">
        <v>21</v>
      </c>
      <c r="D16" s="4" t="s">
        <v>15</v>
      </c>
      <c r="E16">
        <v>410</v>
      </c>
      <c r="F16" s="1">
        <v>0.37152777777777779</v>
      </c>
      <c r="G16" s="2">
        <v>40.86</v>
      </c>
      <c r="H16" s="2">
        <v>129.05000000000001</v>
      </c>
      <c r="I16" s="2">
        <f t="shared" si="0"/>
        <v>169.91000000000003</v>
      </c>
    </row>
    <row r="17" spans="1:9" x14ac:dyDescent="0.25">
      <c r="A17" s="3">
        <v>45746</v>
      </c>
      <c r="B17" t="s">
        <v>8</v>
      </c>
      <c r="C17" t="s">
        <v>25</v>
      </c>
      <c r="D17" s="4" t="s">
        <v>13</v>
      </c>
      <c r="E17">
        <v>415.9</v>
      </c>
      <c r="F17" s="1">
        <v>8.9583333333333334E-2</v>
      </c>
      <c r="G17" s="2">
        <v>488.39</v>
      </c>
      <c r="H17" s="2">
        <v>96.11</v>
      </c>
      <c r="I17" s="2">
        <f t="shared" si="0"/>
        <v>584.5</v>
      </c>
    </row>
    <row r="18" spans="1:9" x14ac:dyDescent="0.25">
      <c r="A18" s="3">
        <v>45751</v>
      </c>
      <c r="B18" t="s">
        <v>4</v>
      </c>
      <c r="C18" t="s">
        <v>19</v>
      </c>
      <c r="D18" s="4" t="s">
        <v>20</v>
      </c>
      <c r="E18">
        <v>402.7</v>
      </c>
      <c r="F18" s="1">
        <v>0.26111111111111113</v>
      </c>
      <c r="G18" s="2">
        <v>115.59</v>
      </c>
      <c r="H18" s="2">
        <v>61.09</v>
      </c>
      <c r="I18" s="2">
        <f t="shared" si="0"/>
        <v>176.68</v>
      </c>
    </row>
    <row r="19" spans="1:9" x14ac:dyDescent="0.25">
      <c r="A19" s="3">
        <v>45752</v>
      </c>
      <c r="B19" t="s">
        <v>4</v>
      </c>
      <c r="C19" t="s">
        <v>23</v>
      </c>
      <c r="D19" s="4" t="s">
        <v>24</v>
      </c>
      <c r="E19">
        <v>415.4</v>
      </c>
      <c r="F19" s="1">
        <v>0.33611111111111114</v>
      </c>
      <c r="G19" s="2">
        <v>450.19</v>
      </c>
      <c r="H19" s="2">
        <v>119.43</v>
      </c>
      <c r="I19" s="2">
        <f t="shared" si="0"/>
        <v>569.62</v>
      </c>
    </row>
    <row r="20" spans="1:9" x14ac:dyDescent="0.25">
      <c r="A20" s="3">
        <v>45756</v>
      </c>
      <c r="B20" t="s">
        <v>8</v>
      </c>
      <c r="C20" t="s">
        <v>12</v>
      </c>
      <c r="D20" s="4" t="s">
        <v>13</v>
      </c>
      <c r="E20">
        <v>367.6</v>
      </c>
      <c r="F20" s="1">
        <v>0.33124999999999999</v>
      </c>
      <c r="G20" s="2">
        <v>486</v>
      </c>
      <c r="H20" s="2">
        <v>130.01</v>
      </c>
      <c r="I20" s="2">
        <f t="shared" si="0"/>
        <v>616.01</v>
      </c>
    </row>
    <row r="21" spans="1:9" x14ac:dyDescent="0.25">
      <c r="A21" s="3">
        <v>45817</v>
      </c>
      <c r="B21" t="s">
        <v>17</v>
      </c>
      <c r="C21" t="s">
        <v>22</v>
      </c>
      <c r="D21" s="4" t="s">
        <v>15</v>
      </c>
      <c r="E21">
        <v>411.9</v>
      </c>
      <c r="F21" s="1">
        <v>0.2951388888888889</v>
      </c>
      <c r="G21" s="2">
        <v>33.54</v>
      </c>
      <c r="H21" s="2">
        <v>165.65</v>
      </c>
      <c r="I21" s="2">
        <f t="shared" si="0"/>
        <v>199.19</v>
      </c>
    </row>
    <row r="22" spans="1:9" x14ac:dyDescent="0.25">
      <c r="A22" s="3">
        <v>45842</v>
      </c>
      <c r="B22" t="s">
        <v>8</v>
      </c>
      <c r="C22" t="s">
        <v>10</v>
      </c>
      <c r="D22" s="4" t="s">
        <v>11</v>
      </c>
      <c r="E22">
        <v>362.2</v>
      </c>
      <c r="F22" s="1">
        <v>0.24513888888888888</v>
      </c>
      <c r="G22" s="2">
        <v>239.24</v>
      </c>
      <c r="H22" s="2">
        <v>207.42</v>
      </c>
      <c r="I22" s="2">
        <f t="shared" si="0"/>
        <v>446.65999999999997</v>
      </c>
    </row>
    <row r="23" spans="1:9" x14ac:dyDescent="0.25">
      <c r="A23" s="3">
        <v>45907</v>
      </c>
      <c r="B23" t="s">
        <v>4</v>
      </c>
      <c r="C23" t="s">
        <v>16</v>
      </c>
      <c r="D23" s="4" t="s">
        <v>13</v>
      </c>
      <c r="E23">
        <v>384.5</v>
      </c>
      <c r="F23" s="1">
        <v>0.2076388888888889</v>
      </c>
      <c r="G23" s="2">
        <v>447.44</v>
      </c>
      <c r="H23" s="2">
        <v>120.65</v>
      </c>
      <c r="I23" s="2">
        <f t="shared" si="0"/>
        <v>568.09</v>
      </c>
    </row>
    <row r="24" spans="1:9" x14ac:dyDescent="0.25">
      <c r="A24" s="3">
        <v>45922</v>
      </c>
      <c r="B24" t="s">
        <v>4</v>
      </c>
      <c r="C24" t="s">
        <v>14</v>
      </c>
      <c r="D24" s="4" t="s">
        <v>15</v>
      </c>
      <c r="E24">
        <v>377.1</v>
      </c>
      <c r="F24" s="1">
        <v>0.27777777777777779</v>
      </c>
      <c r="G24" s="2">
        <v>204.1</v>
      </c>
      <c r="H24" s="2">
        <v>137.4</v>
      </c>
      <c r="I24" s="2">
        <f t="shared" si="0"/>
        <v>341.5</v>
      </c>
    </row>
    <row r="25" spans="1:9" x14ac:dyDescent="0.25">
      <c r="A25" s="3">
        <v>46003</v>
      </c>
      <c r="B25" t="s">
        <v>8</v>
      </c>
      <c r="C25" t="s">
        <v>9</v>
      </c>
      <c r="D25" s="4" t="s">
        <v>6</v>
      </c>
      <c r="E25">
        <v>361.6</v>
      </c>
      <c r="F25" s="1">
        <v>0.10277777777777777</v>
      </c>
      <c r="G25" s="2">
        <v>324.93</v>
      </c>
      <c r="H25" s="2" t="s">
        <v>7</v>
      </c>
      <c r="I25" s="2">
        <f t="shared" si="0"/>
        <v>324.93</v>
      </c>
    </row>
    <row r="26" spans="1:9" x14ac:dyDescent="0.25">
      <c r="A26" s="3"/>
      <c r="D26" s="4"/>
      <c r="F26" s="1"/>
      <c r="G26" s="2"/>
      <c r="H26" s="2"/>
      <c r="I26" s="2"/>
    </row>
    <row r="27" spans="1:9" s="9" customFormat="1" ht="21" x14ac:dyDescent="0.35">
      <c r="A27" s="9">
        <v>2019</v>
      </c>
      <c r="D27" s="14"/>
      <c r="G27" s="10"/>
      <c r="H27" s="10"/>
      <c r="I27" s="10"/>
    </row>
    <row r="28" spans="1:9" x14ac:dyDescent="0.25">
      <c r="A28" s="3">
        <v>45684</v>
      </c>
      <c r="B28" t="s">
        <v>4</v>
      </c>
      <c r="C28" t="s">
        <v>36</v>
      </c>
      <c r="D28" s="4" t="s">
        <v>18</v>
      </c>
      <c r="E28">
        <v>419.9</v>
      </c>
      <c r="F28" s="1">
        <v>0.19930555555555557</v>
      </c>
      <c r="G28" s="2">
        <v>288.2</v>
      </c>
      <c r="H28" s="2">
        <v>167.63</v>
      </c>
      <c r="I28" s="2">
        <f t="shared" ref="I28:I34" si="1">SUM(G28:H28)</f>
        <v>455.83</v>
      </c>
    </row>
    <row r="29" spans="1:9" x14ac:dyDescent="0.25">
      <c r="A29" s="3">
        <v>45688</v>
      </c>
      <c r="B29" t="s">
        <v>17</v>
      </c>
      <c r="C29" t="s">
        <v>29</v>
      </c>
      <c r="D29" s="4" t="s">
        <v>15</v>
      </c>
      <c r="E29">
        <v>428.9</v>
      </c>
      <c r="F29" s="1">
        <v>9.3055555555555558E-2</v>
      </c>
      <c r="G29" s="2">
        <v>227.37</v>
      </c>
      <c r="H29" s="2">
        <v>50.01</v>
      </c>
      <c r="I29" s="2">
        <f t="shared" si="1"/>
        <v>277.38</v>
      </c>
    </row>
    <row r="30" spans="1:9" x14ac:dyDescent="0.25">
      <c r="A30" s="3">
        <v>45769</v>
      </c>
      <c r="B30" t="s">
        <v>8</v>
      </c>
      <c r="C30" t="s">
        <v>27</v>
      </c>
      <c r="D30" s="4" t="s">
        <v>18</v>
      </c>
      <c r="E30">
        <v>436.6</v>
      </c>
      <c r="F30" s="1">
        <v>5.2777777777777778E-2</v>
      </c>
      <c r="G30" s="2">
        <v>169.28</v>
      </c>
      <c r="H30" s="2">
        <v>93.45</v>
      </c>
      <c r="I30" s="2">
        <f t="shared" si="1"/>
        <v>262.73</v>
      </c>
    </row>
    <row r="31" spans="1:9" x14ac:dyDescent="0.25">
      <c r="A31" s="3">
        <v>45780</v>
      </c>
      <c r="B31" t="s">
        <v>17</v>
      </c>
      <c r="C31" t="s">
        <v>86</v>
      </c>
      <c r="D31" s="4" t="s">
        <v>6</v>
      </c>
      <c r="E31">
        <v>446.5</v>
      </c>
      <c r="F31" s="1">
        <v>5.5555555555555552E-2</v>
      </c>
      <c r="G31" s="16">
        <v>129.99</v>
      </c>
      <c r="H31" s="2" t="s">
        <v>7</v>
      </c>
      <c r="I31" s="2">
        <f t="shared" si="1"/>
        <v>129.99</v>
      </c>
    </row>
    <row r="32" spans="1:9" x14ac:dyDescent="0.25">
      <c r="A32" s="3">
        <v>45823</v>
      </c>
      <c r="B32" t="s">
        <v>8</v>
      </c>
      <c r="C32" t="s">
        <v>26</v>
      </c>
      <c r="D32" s="4" t="s">
        <v>18</v>
      </c>
      <c r="E32">
        <v>456.5</v>
      </c>
      <c r="F32" s="1">
        <v>4.6527777777777779E-2</v>
      </c>
      <c r="G32" s="2">
        <v>278.66000000000003</v>
      </c>
      <c r="H32" s="2">
        <v>239.23</v>
      </c>
      <c r="I32" s="2">
        <f t="shared" si="1"/>
        <v>517.89</v>
      </c>
    </row>
    <row r="33" spans="1:9" x14ac:dyDescent="0.25">
      <c r="A33" s="3">
        <v>45827</v>
      </c>
      <c r="B33" t="s">
        <v>4</v>
      </c>
      <c r="C33" t="s">
        <v>31</v>
      </c>
      <c r="D33" s="4" t="s">
        <v>6</v>
      </c>
      <c r="E33">
        <v>461.4</v>
      </c>
      <c r="F33" s="1">
        <v>1.3888888888888888E-2</v>
      </c>
      <c r="G33" s="2">
        <v>0</v>
      </c>
      <c r="H33" s="2">
        <v>0</v>
      </c>
      <c r="I33" s="2">
        <f t="shared" si="1"/>
        <v>0</v>
      </c>
    </row>
    <row r="34" spans="1:9" x14ac:dyDescent="0.25">
      <c r="A34" s="3">
        <v>45860</v>
      </c>
      <c r="B34" t="s">
        <v>17</v>
      </c>
      <c r="C34" t="s">
        <v>29</v>
      </c>
      <c r="D34" s="4" t="s">
        <v>6</v>
      </c>
      <c r="E34">
        <v>463.4</v>
      </c>
      <c r="F34" s="1">
        <v>0.30694444444444446</v>
      </c>
      <c r="G34" s="2">
        <v>471.78</v>
      </c>
      <c r="H34" s="2" t="s">
        <v>7</v>
      </c>
      <c r="I34" s="2">
        <f t="shared" si="1"/>
        <v>471.78</v>
      </c>
    </row>
    <row r="35" spans="1:9" x14ac:dyDescent="0.25">
      <c r="A35" s="3">
        <v>45866</v>
      </c>
      <c r="B35" t="s">
        <v>4</v>
      </c>
      <c r="C35" t="s">
        <v>19</v>
      </c>
      <c r="D35" s="4" t="s">
        <v>11</v>
      </c>
      <c r="E35">
        <v>470.2</v>
      </c>
      <c r="F35" s="1">
        <v>0.16944444444444445</v>
      </c>
      <c r="G35" s="2">
        <v>305.24</v>
      </c>
      <c r="H35" s="2">
        <v>256.8</v>
      </c>
      <c r="I35" s="2">
        <f>SUM(G35:H35)</f>
        <v>562.04</v>
      </c>
    </row>
    <row r="36" spans="1:9" x14ac:dyDescent="0.25">
      <c r="A36" s="3">
        <v>45882</v>
      </c>
      <c r="B36" t="s">
        <v>4</v>
      </c>
      <c r="C36" t="s">
        <v>23</v>
      </c>
      <c r="D36" s="4" t="s">
        <v>18</v>
      </c>
      <c r="E36">
        <v>480.1</v>
      </c>
      <c r="F36" s="1">
        <v>0.13472222222222222</v>
      </c>
      <c r="G36" s="2">
        <v>307.52999999999997</v>
      </c>
      <c r="H36" s="2">
        <v>167.53</v>
      </c>
      <c r="I36" s="2">
        <f t="shared" ref="I36:I46" si="2">SUM(G36:H36)</f>
        <v>475.05999999999995</v>
      </c>
    </row>
    <row r="37" spans="1:9" x14ac:dyDescent="0.25">
      <c r="A37" s="3">
        <v>45884</v>
      </c>
      <c r="B37" t="s">
        <v>17</v>
      </c>
      <c r="C37" t="s">
        <v>32</v>
      </c>
      <c r="D37" s="4" t="s">
        <v>6</v>
      </c>
      <c r="E37">
        <v>484</v>
      </c>
      <c r="F37" s="1">
        <v>0.19236111111111112</v>
      </c>
      <c r="G37" s="2">
        <v>217.89</v>
      </c>
      <c r="H37" s="2" t="s">
        <v>7</v>
      </c>
      <c r="I37" s="2">
        <f t="shared" si="2"/>
        <v>217.89</v>
      </c>
    </row>
    <row r="38" spans="1:9" x14ac:dyDescent="0.25">
      <c r="A38" s="3">
        <v>45913</v>
      </c>
      <c r="B38" t="s">
        <v>8</v>
      </c>
      <c r="C38" t="s">
        <v>10</v>
      </c>
      <c r="D38" s="4" t="s">
        <v>15</v>
      </c>
      <c r="E38">
        <v>490.6</v>
      </c>
      <c r="F38" s="1">
        <v>0.12569444444444444</v>
      </c>
      <c r="G38" s="2">
        <v>181.84</v>
      </c>
      <c r="H38" s="2">
        <v>107.47</v>
      </c>
      <c r="I38" s="2">
        <f t="shared" si="2"/>
        <v>289.31</v>
      </c>
    </row>
    <row r="39" spans="1:9" x14ac:dyDescent="0.25">
      <c r="A39" s="3">
        <v>45941</v>
      </c>
      <c r="B39" t="s">
        <v>17</v>
      </c>
      <c r="C39" t="s">
        <v>33</v>
      </c>
      <c r="D39" s="4" t="s">
        <v>13</v>
      </c>
      <c r="E39">
        <v>497.8</v>
      </c>
      <c r="F39" s="1">
        <v>0.34722222222222221</v>
      </c>
      <c r="G39" s="2">
        <v>473.83</v>
      </c>
      <c r="H39" s="2">
        <v>104.7</v>
      </c>
      <c r="I39" s="2">
        <f t="shared" si="2"/>
        <v>578.53</v>
      </c>
    </row>
    <row r="40" spans="1:9" x14ac:dyDescent="0.25">
      <c r="A40" s="3">
        <v>45943</v>
      </c>
      <c r="B40" t="s">
        <v>8</v>
      </c>
      <c r="C40" t="s">
        <v>30</v>
      </c>
      <c r="D40" s="4" t="s">
        <v>20</v>
      </c>
      <c r="E40">
        <v>499.5</v>
      </c>
      <c r="F40" s="1">
        <v>0.29305555555555557</v>
      </c>
      <c r="G40" s="2">
        <v>106.65</v>
      </c>
      <c r="H40" s="2">
        <v>154.19</v>
      </c>
      <c r="I40" s="2">
        <f t="shared" si="2"/>
        <v>260.84000000000003</v>
      </c>
    </row>
    <row r="41" spans="1:9" x14ac:dyDescent="0.25">
      <c r="A41" s="3">
        <v>45957</v>
      </c>
      <c r="B41" t="s">
        <v>8</v>
      </c>
      <c r="C41" t="s">
        <v>30</v>
      </c>
      <c r="D41" s="4" t="s">
        <v>13</v>
      </c>
      <c r="E41">
        <v>508.9</v>
      </c>
      <c r="F41" s="1">
        <v>0.3125</v>
      </c>
      <c r="G41" s="2">
        <v>448.44</v>
      </c>
      <c r="H41" s="2">
        <v>231.11</v>
      </c>
      <c r="I41" s="2">
        <f t="shared" si="2"/>
        <v>679.55</v>
      </c>
    </row>
    <row r="42" spans="1:9" x14ac:dyDescent="0.25">
      <c r="A42" s="3">
        <v>45960</v>
      </c>
      <c r="B42" t="s">
        <v>8</v>
      </c>
      <c r="C42" t="s">
        <v>34</v>
      </c>
      <c r="D42" s="4" t="s">
        <v>13</v>
      </c>
      <c r="E42">
        <v>514.79999999999995</v>
      </c>
      <c r="F42" s="1">
        <v>0.24097222222222223</v>
      </c>
      <c r="G42" s="2">
        <v>136.56</v>
      </c>
      <c r="H42" s="2">
        <v>134.02000000000001</v>
      </c>
      <c r="I42" s="2">
        <f t="shared" si="2"/>
        <v>270.58000000000004</v>
      </c>
    </row>
    <row r="43" spans="1:9" x14ac:dyDescent="0.25">
      <c r="A43" s="3">
        <v>45996</v>
      </c>
      <c r="B43" t="s">
        <v>17</v>
      </c>
      <c r="C43" t="s">
        <v>35</v>
      </c>
      <c r="D43" s="4" t="s">
        <v>20</v>
      </c>
      <c r="E43">
        <v>520.20000000000005</v>
      </c>
      <c r="F43" s="1">
        <v>0.23541666666666666</v>
      </c>
      <c r="G43" s="2">
        <v>453.19</v>
      </c>
      <c r="H43" s="2">
        <v>284.72000000000003</v>
      </c>
      <c r="I43" s="2">
        <f t="shared" si="2"/>
        <v>737.91000000000008</v>
      </c>
    </row>
    <row r="44" spans="1:9" x14ac:dyDescent="0.25">
      <c r="A44" s="3">
        <v>46000</v>
      </c>
      <c r="B44" t="s">
        <v>8</v>
      </c>
      <c r="C44" t="s">
        <v>34</v>
      </c>
      <c r="D44" s="4" t="s">
        <v>15</v>
      </c>
      <c r="E44">
        <v>529.1</v>
      </c>
      <c r="F44" s="1">
        <v>0.37361111111111112</v>
      </c>
      <c r="G44" s="2">
        <v>446.49</v>
      </c>
      <c r="H44" s="2">
        <v>187.79</v>
      </c>
      <c r="I44" s="2">
        <f t="shared" si="2"/>
        <v>634.28</v>
      </c>
    </row>
    <row r="45" spans="1:9" x14ac:dyDescent="0.25">
      <c r="A45" s="3">
        <v>46001</v>
      </c>
      <c r="B45" t="s">
        <v>4</v>
      </c>
      <c r="C45" t="s">
        <v>28</v>
      </c>
      <c r="D45" s="4" t="s">
        <v>6</v>
      </c>
      <c r="E45">
        <v>529.70000000000005</v>
      </c>
      <c r="F45" s="1">
        <v>9.375E-2</v>
      </c>
      <c r="G45" s="2">
        <v>382.87</v>
      </c>
      <c r="H45" s="2" t="s">
        <v>7</v>
      </c>
      <c r="I45" s="2">
        <f t="shared" si="2"/>
        <v>382.87</v>
      </c>
    </row>
    <row r="46" spans="1:9" x14ac:dyDescent="0.25">
      <c r="A46" s="3">
        <v>46008</v>
      </c>
      <c r="B46" t="s">
        <v>17</v>
      </c>
      <c r="C46" t="s">
        <v>37</v>
      </c>
      <c r="D46" s="4" t="s">
        <v>11</v>
      </c>
      <c r="E46">
        <v>530.79999999999995</v>
      </c>
      <c r="F46" s="1">
        <v>9.4444444444444442E-2</v>
      </c>
      <c r="G46" s="2">
        <v>156.75</v>
      </c>
      <c r="H46" s="2">
        <v>191.95</v>
      </c>
      <c r="I46" s="2">
        <f t="shared" si="2"/>
        <v>348.7</v>
      </c>
    </row>
    <row r="47" spans="1:9" x14ac:dyDescent="0.25">
      <c r="A47" s="3"/>
      <c r="D47" s="4"/>
      <c r="F47" s="1"/>
      <c r="G47" s="2"/>
      <c r="H47" s="2"/>
      <c r="I47" s="2"/>
    </row>
    <row r="48" spans="1:9" s="9" customFormat="1" ht="21" x14ac:dyDescent="0.35">
      <c r="A48" s="9">
        <v>2020</v>
      </c>
      <c r="D48" s="14"/>
      <c r="G48" s="10"/>
      <c r="H48" s="10"/>
      <c r="I48" s="10"/>
    </row>
    <row r="49" spans="1:9" x14ac:dyDescent="0.25">
      <c r="A49" s="3">
        <v>45664</v>
      </c>
      <c r="B49" t="s">
        <v>17</v>
      </c>
      <c r="C49" t="s">
        <v>40</v>
      </c>
      <c r="D49" s="4" t="s">
        <v>13</v>
      </c>
      <c r="E49">
        <v>530.9</v>
      </c>
      <c r="F49" s="1">
        <v>0.25208333333333333</v>
      </c>
      <c r="G49" s="2">
        <v>79.17</v>
      </c>
      <c r="H49" s="2">
        <v>96.69</v>
      </c>
      <c r="I49" s="2">
        <f t="shared" ref="I49:I52" si="3">SUM(G49:H49)</f>
        <v>175.86</v>
      </c>
    </row>
    <row r="50" spans="1:9" x14ac:dyDescent="0.25">
      <c r="A50" s="3">
        <v>45664</v>
      </c>
      <c r="B50" t="s">
        <v>17</v>
      </c>
      <c r="C50" t="s">
        <v>89</v>
      </c>
      <c r="D50" s="4" t="s">
        <v>11</v>
      </c>
      <c r="E50">
        <v>534.1</v>
      </c>
      <c r="F50" s="1">
        <v>0.2673611111111111</v>
      </c>
      <c r="G50" s="2">
        <v>40.130000000000003</v>
      </c>
      <c r="H50" s="2">
        <v>273.64999999999998</v>
      </c>
      <c r="I50" s="2">
        <f t="shared" si="3"/>
        <v>313.77999999999997</v>
      </c>
    </row>
    <row r="51" spans="1:9" x14ac:dyDescent="0.25">
      <c r="A51" s="3">
        <v>45691</v>
      </c>
      <c r="B51" t="s">
        <v>17</v>
      </c>
      <c r="C51" t="s">
        <v>41</v>
      </c>
      <c r="D51" s="4" t="s">
        <v>24</v>
      </c>
      <c r="E51">
        <v>535.29999999999995</v>
      </c>
      <c r="F51" s="1">
        <v>0.2722222222222222</v>
      </c>
      <c r="G51" s="2">
        <v>267.20999999999998</v>
      </c>
      <c r="H51" s="2">
        <v>288.08</v>
      </c>
      <c r="I51" s="2">
        <f t="shared" si="3"/>
        <v>555.29</v>
      </c>
    </row>
    <row r="52" spans="1:9" x14ac:dyDescent="0.25">
      <c r="A52" s="3">
        <v>45726</v>
      </c>
      <c r="B52" t="s">
        <v>8</v>
      </c>
      <c r="C52" t="s">
        <v>39</v>
      </c>
      <c r="D52" s="4" t="s">
        <v>15</v>
      </c>
      <c r="E52">
        <v>537.6</v>
      </c>
      <c r="F52" s="1">
        <v>0.3347222222222222</v>
      </c>
      <c r="G52" s="2">
        <v>359.3</v>
      </c>
      <c r="H52" s="2">
        <v>103.85</v>
      </c>
      <c r="I52" s="2">
        <f t="shared" si="3"/>
        <v>463.15</v>
      </c>
    </row>
    <row r="53" spans="1:9" x14ac:dyDescent="0.25">
      <c r="A53" s="3">
        <v>45737</v>
      </c>
      <c r="B53" t="s">
        <v>4</v>
      </c>
      <c r="C53" t="s">
        <v>23</v>
      </c>
      <c r="D53" s="4" t="s">
        <v>24</v>
      </c>
      <c r="E53">
        <v>546.20000000000005</v>
      </c>
      <c r="F53" s="1">
        <v>0.28055555555555556</v>
      </c>
      <c r="G53" s="2">
        <v>83.72</v>
      </c>
      <c r="H53" s="2">
        <v>175.31</v>
      </c>
      <c r="I53" s="2">
        <f t="shared" ref="I53:I66" si="4">SUM(G53:H53)</f>
        <v>259.02999999999997</v>
      </c>
    </row>
    <row r="54" spans="1:9" x14ac:dyDescent="0.25">
      <c r="A54" s="3">
        <v>45746</v>
      </c>
      <c r="B54" t="s">
        <v>4</v>
      </c>
      <c r="C54" t="s">
        <v>42</v>
      </c>
      <c r="D54" s="4" t="s">
        <v>11</v>
      </c>
      <c r="E54">
        <v>551.1</v>
      </c>
      <c r="F54" s="1">
        <v>0.19375000000000001</v>
      </c>
      <c r="G54" s="2">
        <v>26.67</v>
      </c>
      <c r="H54" s="2">
        <v>50.63</v>
      </c>
      <c r="I54" s="2">
        <f t="shared" si="4"/>
        <v>77.300000000000011</v>
      </c>
    </row>
    <row r="55" spans="1:9" x14ac:dyDescent="0.25">
      <c r="A55" s="3">
        <v>45769</v>
      </c>
      <c r="B55" t="s">
        <v>4</v>
      </c>
      <c r="C55" t="s">
        <v>14</v>
      </c>
      <c r="D55" s="4" t="s">
        <v>15</v>
      </c>
      <c r="E55">
        <v>555.79999999999995</v>
      </c>
      <c r="F55" s="1">
        <v>8.611111111111111E-2</v>
      </c>
      <c r="G55" s="2">
        <v>257.83999999999997</v>
      </c>
      <c r="H55" s="2">
        <v>188.06</v>
      </c>
      <c r="I55" s="2">
        <f t="shared" si="4"/>
        <v>445.9</v>
      </c>
    </row>
    <row r="56" spans="1:9" x14ac:dyDescent="0.25">
      <c r="A56" s="3">
        <v>45771</v>
      </c>
      <c r="B56" t="s">
        <v>4</v>
      </c>
      <c r="C56" t="s">
        <v>23</v>
      </c>
      <c r="D56" s="4" t="s">
        <v>13</v>
      </c>
      <c r="E56">
        <v>558.29999999999995</v>
      </c>
      <c r="F56" s="1">
        <v>8.611111111111111E-2</v>
      </c>
      <c r="G56" s="2">
        <v>199.65</v>
      </c>
      <c r="H56" s="2">
        <v>71.069999999999993</v>
      </c>
      <c r="I56" s="2">
        <f t="shared" si="4"/>
        <v>270.72000000000003</v>
      </c>
    </row>
    <row r="57" spans="1:9" x14ac:dyDescent="0.25">
      <c r="A57" s="3">
        <v>45772</v>
      </c>
      <c r="B57" t="s">
        <v>4</v>
      </c>
      <c r="C57" t="s">
        <v>19</v>
      </c>
      <c r="D57" s="4" t="s">
        <v>15</v>
      </c>
      <c r="E57">
        <v>565</v>
      </c>
      <c r="F57" s="1">
        <v>0.30069444444444443</v>
      </c>
      <c r="G57" s="2">
        <v>441.86</v>
      </c>
      <c r="H57" s="2">
        <v>270.89</v>
      </c>
      <c r="I57" s="2">
        <f t="shared" si="4"/>
        <v>712.75</v>
      </c>
    </row>
    <row r="58" spans="1:9" x14ac:dyDescent="0.25">
      <c r="A58" s="3">
        <v>45786</v>
      </c>
      <c r="B58" t="s">
        <v>17</v>
      </c>
      <c r="C58" t="s">
        <v>41</v>
      </c>
      <c r="D58" s="4" t="s">
        <v>18</v>
      </c>
      <c r="E58">
        <v>572.70000000000005</v>
      </c>
      <c r="F58" s="1">
        <v>0.23125000000000001</v>
      </c>
      <c r="G58" s="2">
        <v>333.21</v>
      </c>
      <c r="H58" s="2">
        <v>229.29</v>
      </c>
      <c r="I58" s="2">
        <f t="shared" si="4"/>
        <v>562.5</v>
      </c>
    </row>
    <row r="59" spans="1:9" x14ac:dyDescent="0.25">
      <c r="A59" s="3">
        <v>45822</v>
      </c>
      <c r="B59" t="s">
        <v>8</v>
      </c>
      <c r="C59" t="s">
        <v>10</v>
      </c>
      <c r="D59" s="4" t="s">
        <v>6</v>
      </c>
      <c r="E59">
        <v>575.5</v>
      </c>
      <c r="F59" s="1">
        <v>7.3611111111111113E-2</v>
      </c>
      <c r="G59" s="2">
        <v>231.51</v>
      </c>
      <c r="H59" s="2" t="s">
        <v>7</v>
      </c>
      <c r="I59" s="2">
        <f t="shared" si="4"/>
        <v>231.51</v>
      </c>
    </row>
    <row r="60" spans="1:9" x14ac:dyDescent="0.25">
      <c r="A60" s="3">
        <v>45826</v>
      </c>
      <c r="B60" t="s">
        <v>4</v>
      </c>
      <c r="C60" t="s">
        <v>5</v>
      </c>
      <c r="D60" s="4" t="s">
        <v>20</v>
      </c>
      <c r="E60">
        <v>584</v>
      </c>
      <c r="F60" s="1">
        <v>0.18541666666666667</v>
      </c>
      <c r="G60" s="2">
        <v>482.57</v>
      </c>
      <c r="H60" s="2">
        <v>267.08999999999997</v>
      </c>
      <c r="I60" s="2">
        <f t="shared" si="4"/>
        <v>749.66</v>
      </c>
    </row>
    <row r="61" spans="1:9" x14ac:dyDescent="0.25">
      <c r="A61" s="3">
        <v>45849</v>
      </c>
      <c r="B61" t="s">
        <v>4</v>
      </c>
      <c r="C61" t="s">
        <v>43</v>
      </c>
      <c r="D61" s="4" t="s">
        <v>13</v>
      </c>
      <c r="E61">
        <v>584.4</v>
      </c>
      <c r="F61" s="1">
        <v>0.14930555555555555</v>
      </c>
      <c r="G61" s="2">
        <v>119.97</v>
      </c>
      <c r="H61" s="2">
        <v>117.72</v>
      </c>
      <c r="I61" s="2">
        <f t="shared" si="4"/>
        <v>237.69</v>
      </c>
    </row>
    <row r="62" spans="1:9" x14ac:dyDescent="0.25">
      <c r="A62" s="3">
        <v>45851</v>
      </c>
      <c r="B62" t="s">
        <v>8</v>
      </c>
      <c r="C62" t="s">
        <v>30</v>
      </c>
      <c r="D62" s="4" t="s">
        <v>18</v>
      </c>
      <c r="E62">
        <v>591.70000000000005</v>
      </c>
      <c r="F62" s="1">
        <v>0.1763888888888889</v>
      </c>
      <c r="G62" s="2">
        <v>259.91000000000003</v>
      </c>
      <c r="H62" s="2">
        <v>236.2</v>
      </c>
      <c r="I62" s="2">
        <f t="shared" si="4"/>
        <v>496.11</v>
      </c>
    </row>
    <row r="63" spans="1:9" x14ac:dyDescent="0.25">
      <c r="A63" s="3">
        <v>45866</v>
      </c>
      <c r="B63" t="s">
        <v>17</v>
      </c>
      <c r="C63" t="s">
        <v>22</v>
      </c>
      <c r="D63" s="4" t="s">
        <v>13</v>
      </c>
      <c r="E63">
        <v>600.20000000000005</v>
      </c>
      <c r="F63" s="1">
        <v>0.18194444444444444</v>
      </c>
      <c r="G63" s="2">
        <v>167.48</v>
      </c>
      <c r="H63" s="2">
        <v>97.85</v>
      </c>
      <c r="I63" s="2">
        <f t="shared" si="4"/>
        <v>265.33</v>
      </c>
    </row>
    <row r="64" spans="1:9" x14ac:dyDescent="0.25">
      <c r="A64" s="3">
        <v>45957</v>
      </c>
      <c r="B64" t="s">
        <v>8</v>
      </c>
      <c r="C64" t="s">
        <v>9</v>
      </c>
      <c r="D64" s="4" t="s">
        <v>20</v>
      </c>
      <c r="E64">
        <v>600.5</v>
      </c>
      <c r="F64" s="1">
        <v>0.25624999999999998</v>
      </c>
      <c r="G64" s="2">
        <v>412.86</v>
      </c>
      <c r="H64" s="2">
        <v>168.82</v>
      </c>
      <c r="I64" s="2">
        <f t="shared" si="4"/>
        <v>581.68000000000006</v>
      </c>
    </row>
    <row r="65" spans="1:9" x14ac:dyDescent="0.25">
      <c r="A65" s="3">
        <v>45974</v>
      </c>
      <c r="B65" t="s">
        <v>17</v>
      </c>
      <c r="C65" t="s">
        <v>84</v>
      </c>
      <c r="D65" s="4" t="s">
        <v>6</v>
      </c>
      <c r="E65">
        <v>604.9</v>
      </c>
      <c r="F65" s="1">
        <v>0.27152777777777776</v>
      </c>
      <c r="G65" s="2">
        <v>442.87</v>
      </c>
      <c r="H65" s="2" t="s">
        <v>7</v>
      </c>
      <c r="I65" s="2">
        <f t="shared" si="4"/>
        <v>442.87</v>
      </c>
    </row>
    <row r="66" spans="1:9" x14ac:dyDescent="0.25">
      <c r="A66" s="3">
        <v>45994</v>
      </c>
      <c r="B66" t="s">
        <v>8</v>
      </c>
      <c r="C66" t="s">
        <v>39</v>
      </c>
      <c r="D66" s="4" t="s">
        <v>11</v>
      </c>
      <c r="E66">
        <v>610.20000000000005</v>
      </c>
      <c r="F66" s="1">
        <v>0.35138888888888886</v>
      </c>
      <c r="G66" s="2">
        <v>69.150000000000006</v>
      </c>
      <c r="H66" s="2">
        <v>164.95</v>
      </c>
      <c r="I66" s="2">
        <f t="shared" si="4"/>
        <v>234.1</v>
      </c>
    </row>
    <row r="67" spans="1:9" x14ac:dyDescent="0.25">
      <c r="A67" s="3"/>
      <c r="D67" s="4"/>
      <c r="F67" s="1"/>
      <c r="G67" s="2"/>
      <c r="H67" s="2"/>
      <c r="I67" s="2"/>
    </row>
    <row r="68" spans="1:9" s="9" customFormat="1" ht="21" x14ac:dyDescent="0.35">
      <c r="A68" s="9">
        <v>2021</v>
      </c>
      <c r="D68" s="14"/>
      <c r="G68" s="10"/>
      <c r="H68" s="10"/>
      <c r="I68" s="10"/>
    </row>
    <row r="69" spans="1:9" x14ac:dyDescent="0.25">
      <c r="A69" s="3">
        <v>45679</v>
      </c>
      <c r="B69" t="s">
        <v>8</v>
      </c>
      <c r="C69" t="s">
        <v>46</v>
      </c>
      <c r="D69" s="4" t="s">
        <v>24</v>
      </c>
      <c r="E69">
        <v>611.4</v>
      </c>
      <c r="F69" s="1">
        <v>0.35625000000000001</v>
      </c>
      <c r="G69" s="2">
        <v>282.47000000000003</v>
      </c>
      <c r="H69" s="2">
        <v>126.7</v>
      </c>
      <c r="I69" s="2">
        <f t="shared" ref="I69:I78" si="5">SUM(G69:H69)</f>
        <v>409.17</v>
      </c>
    </row>
    <row r="70" spans="1:9" x14ac:dyDescent="0.25">
      <c r="A70" s="3">
        <v>45731</v>
      </c>
      <c r="B70" t="s">
        <v>17</v>
      </c>
      <c r="C70" t="s">
        <v>22</v>
      </c>
      <c r="D70" s="4" t="s">
        <v>13</v>
      </c>
      <c r="E70">
        <v>612.9</v>
      </c>
      <c r="F70" s="1">
        <v>0.19583333333333333</v>
      </c>
      <c r="G70" s="2">
        <v>248.95</v>
      </c>
      <c r="H70" s="2">
        <v>220.19</v>
      </c>
      <c r="I70" s="2">
        <f t="shared" si="5"/>
        <v>469.14</v>
      </c>
    </row>
    <row r="71" spans="1:9" x14ac:dyDescent="0.25">
      <c r="A71" s="3">
        <v>45785</v>
      </c>
      <c r="B71" t="s">
        <v>8</v>
      </c>
      <c r="C71" t="s">
        <v>47</v>
      </c>
      <c r="D71" s="4" t="s">
        <v>20</v>
      </c>
      <c r="E71">
        <v>613.9</v>
      </c>
      <c r="F71" s="1">
        <v>0.33958333333333335</v>
      </c>
      <c r="G71" s="2">
        <v>33.85</v>
      </c>
      <c r="H71" s="2">
        <v>191.25</v>
      </c>
      <c r="I71" s="2">
        <f t="shared" si="5"/>
        <v>225.1</v>
      </c>
    </row>
    <row r="72" spans="1:9" x14ac:dyDescent="0.25">
      <c r="A72" s="3">
        <v>45818</v>
      </c>
      <c r="B72" t="s">
        <v>17</v>
      </c>
      <c r="C72" t="s">
        <v>85</v>
      </c>
      <c r="D72" s="4" t="s">
        <v>18</v>
      </c>
      <c r="E72">
        <v>619.70000000000005</v>
      </c>
      <c r="F72" s="1">
        <v>0.21249999999999999</v>
      </c>
      <c r="G72" s="2">
        <v>1438.22</v>
      </c>
      <c r="H72" s="2">
        <v>146.1</v>
      </c>
      <c r="I72" s="2">
        <f t="shared" si="5"/>
        <v>1584.32</v>
      </c>
    </row>
    <row r="73" spans="1:9" x14ac:dyDescent="0.25">
      <c r="A73" s="3">
        <v>45830</v>
      </c>
      <c r="B73" t="s">
        <v>17</v>
      </c>
      <c r="C73" t="s">
        <v>48</v>
      </c>
      <c r="D73" s="4" t="s">
        <v>6</v>
      </c>
      <c r="E73">
        <v>629.20000000000005</v>
      </c>
      <c r="F73" s="1">
        <v>0.2722222222222222</v>
      </c>
      <c r="G73" s="2">
        <v>293.93</v>
      </c>
      <c r="H73" s="2" t="s">
        <v>7</v>
      </c>
      <c r="I73" s="2">
        <f t="shared" si="5"/>
        <v>293.93</v>
      </c>
    </row>
    <row r="74" spans="1:9" x14ac:dyDescent="0.25">
      <c r="A74" s="3">
        <v>45877</v>
      </c>
      <c r="B74" t="s">
        <v>17</v>
      </c>
      <c r="C74" t="s">
        <v>45</v>
      </c>
      <c r="D74" s="4" t="s">
        <v>13</v>
      </c>
      <c r="E74">
        <v>629.5</v>
      </c>
      <c r="F74" s="1">
        <v>0.16944444444444445</v>
      </c>
      <c r="G74" s="2">
        <v>264.41000000000003</v>
      </c>
      <c r="H74" s="2">
        <v>270.66000000000003</v>
      </c>
      <c r="I74" s="2">
        <f t="shared" si="5"/>
        <v>535.07000000000005</v>
      </c>
    </row>
    <row r="75" spans="1:9" x14ac:dyDescent="0.25">
      <c r="A75" s="3">
        <v>45939</v>
      </c>
      <c r="B75" t="s">
        <v>8</v>
      </c>
      <c r="C75" t="s">
        <v>12</v>
      </c>
      <c r="D75" s="4" t="s">
        <v>24</v>
      </c>
      <c r="E75">
        <v>638.79999999999995</v>
      </c>
      <c r="F75" s="1">
        <v>0.32361111111111113</v>
      </c>
      <c r="G75" s="2">
        <v>276.08</v>
      </c>
      <c r="H75" s="2">
        <v>184.04</v>
      </c>
      <c r="I75" s="2">
        <f t="shared" si="5"/>
        <v>460.12</v>
      </c>
    </row>
    <row r="76" spans="1:9" x14ac:dyDescent="0.25">
      <c r="A76" s="3">
        <v>45944</v>
      </c>
      <c r="B76" t="s">
        <v>4</v>
      </c>
      <c r="C76" t="s">
        <v>42</v>
      </c>
      <c r="D76" s="4" t="s">
        <v>24</v>
      </c>
      <c r="E76">
        <v>640.4</v>
      </c>
      <c r="F76" s="1">
        <v>0.28611111111111109</v>
      </c>
      <c r="G76" s="2">
        <v>473.78</v>
      </c>
      <c r="H76" s="2">
        <v>226.34</v>
      </c>
      <c r="I76" s="2">
        <f t="shared" si="5"/>
        <v>700.12</v>
      </c>
    </row>
    <row r="77" spans="1:9" x14ac:dyDescent="0.25">
      <c r="A77" s="3">
        <v>45947</v>
      </c>
      <c r="B77" t="s">
        <v>8</v>
      </c>
      <c r="C77" t="s">
        <v>27</v>
      </c>
      <c r="D77" s="4" t="s">
        <v>15</v>
      </c>
      <c r="E77">
        <v>645</v>
      </c>
      <c r="F77" s="1">
        <v>0.20416666666666666</v>
      </c>
      <c r="G77" s="2">
        <v>119.08</v>
      </c>
      <c r="H77" s="2">
        <v>54.09</v>
      </c>
      <c r="I77" s="2">
        <f t="shared" si="5"/>
        <v>173.17000000000002</v>
      </c>
    </row>
    <row r="78" spans="1:9" x14ac:dyDescent="0.25">
      <c r="A78" s="3">
        <v>45981</v>
      </c>
      <c r="B78" t="s">
        <v>17</v>
      </c>
      <c r="C78" t="s">
        <v>90</v>
      </c>
      <c r="D78" s="4" t="s">
        <v>6</v>
      </c>
      <c r="E78">
        <v>648.20000000000005</v>
      </c>
      <c r="F78" s="1">
        <v>0.25972222222222224</v>
      </c>
      <c r="G78" s="2">
        <v>138.91999999999999</v>
      </c>
      <c r="H78" s="2" t="s">
        <v>7</v>
      </c>
      <c r="I78" s="2">
        <f t="shared" si="5"/>
        <v>138.91999999999999</v>
      </c>
    </row>
    <row r="79" spans="1:9" x14ac:dyDescent="0.25">
      <c r="A79" s="3"/>
      <c r="D79" s="4"/>
      <c r="F79" s="1"/>
      <c r="G79" s="2"/>
      <c r="H79" s="2"/>
      <c r="I79" s="2"/>
    </row>
    <row r="80" spans="1:9" s="9" customFormat="1" ht="21" x14ac:dyDescent="0.35">
      <c r="A80" s="9">
        <v>2022</v>
      </c>
      <c r="D80" s="14"/>
      <c r="G80" s="10"/>
      <c r="H80" s="10"/>
      <c r="I80" s="10"/>
    </row>
    <row r="81" spans="1:9" x14ac:dyDescent="0.25">
      <c r="A81" s="3">
        <v>45667</v>
      </c>
      <c r="B81" t="s">
        <v>17</v>
      </c>
      <c r="C81" t="s">
        <v>29</v>
      </c>
      <c r="D81" s="4" t="s">
        <v>18</v>
      </c>
      <c r="E81">
        <v>650.20000000000005</v>
      </c>
      <c r="F81" s="1">
        <v>4.7222222222222221E-2</v>
      </c>
      <c r="G81" s="2">
        <v>497.4</v>
      </c>
      <c r="H81" s="2">
        <v>115.93</v>
      </c>
      <c r="I81" s="2">
        <f t="shared" ref="I81:I90" si="6">SUM(G81:H81)</f>
        <v>613.32999999999993</v>
      </c>
    </row>
    <row r="82" spans="1:9" x14ac:dyDescent="0.25">
      <c r="A82" s="3">
        <v>45746</v>
      </c>
      <c r="B82" t="s">
        <v>17</v>
      </c>
      <c r="C82" t="s">
        <v>80</v>
      </c>
      <c r="D82" s="4" t="s">
        <v>6</v>
      </c>
      <c r="E82">
        <v>654.20000000000005</v>
      </c>
      <c r="F82" s="1">
        <v>0.14305555555555555</v>
      </c>
      <c r="G82" s="2">
        <v>190.95</v>
      </c>
      <c r="H82" s="2" t="s">
        <v>7</v>
      </c>
      <c r="I82" s="2">
        <f t="shared" si="6"/>
        <v>190.95</v>
      </c>
    </row>
    <row r="83" spans="1:9" x14ac:dyDescent="0.25">
      <c r="A83" s="3">
        <v>45748</v>
      </c>
      <c r="B83" t="s">
        <v>17</v>
      </c>
      <c r="C83" t="s">
        <v>50</v>
      </c>
      <c r="D83" s="4" t="s">
        <v>6</v>
      </c>
      <c r="E83">
        <v>654.70000000000005</v>
      </c>
      <c r="F83" s="1">
        <v>0.25763888888888886</v>
      </c>
      <c r="G83" s="2">
        <v>376.79</v>
      </c>
      <c r="H83" s="2" t="s">
        <v>7</v>
      </c>
      <c r="I83" s="2">
        <f t="shared" si="6"/>
        <v>376.79</v>
      </c>
    </row>
    <row r="84" spans="1:9" x14ac:dyDescent="0.25">
      <c r="A84" s="3">
        <v>45758</v>
      </c>
      <c r="B84" t="s">
        <v>17</v>
      </c>
      <c r="C84" t="s">
        <v>41</v>
      </c>
      <c r="D84" s="4" t="s">
        <v>20</v>
      </c>
      <c r="E84">
        <v>655</v>
      </c>
      <c r="F84" s="1">
        <v>0.11388888888888889</v>
      </c>
      <c r="G84" s="2">
        <v>385.34</v>
      </c>
      <c r="H84" s="2">
        <v>188.13</v>
      </c>
      <c r="I84" s="2">
        <f t="shared" si="6"/>
        <v>573.47</v>
      </c>
    </row>
    <row r="85" spans="1:9" x14ac:dyDescent="0.25">
      <c r="A85" s="3">
        <v>45781</v>
      </c>
      <c r="B85" t="s">
        <v>4</v>
      </c>
      <c r="C85" t="s">
        <v>16</v>
      </c>
      <c r="D85" s="4" t="s">
        <v>20</v>
      </c>
      <c r="E85">
        <v>658.8</v>
      </c>
      <c r="F85" s="1">
        <v>0.21944444444444444</v>
      </c>
      <c r="G85" s="2">
        <v>399.61</v>
      </c>
      <c r="H85" s="2">
        <v>243.99</v>
      </c>
      <c r="I85" s="2">
        <f t="shared" si="6"/>
        <v>643.6</v>
      </c>
    </row>
    <row r="86" spans="1:9" x14ac:dyDescent="0.25">
      <c r="A86" s="3">
        <v>45787</v>
      </c>
      <c r="B86" t="s">
        <v>4</v>
      </c>
      <c r="C86" t="s">
        <v>49</v>
      </c>
      <c r="D86" s="4" t="s">
        <v>20</v>
      </c>
      <c r="E86">
        <v>666.7</v>
      </c>
      <c r="F86" s="1">
        <v>0.11180555555555556</v>
      </c>
      <c r="G86" s="2">
        <v>234.12</v>
      </c>
      <c r="H86" s="2">
        <v>79.430000000000007</v>
      </c>
      <c r="I86" s="2">
        <f t="shared" si="6"/>
        <v>313.55</v>
      </c>
    </row>
    <row r="87" spans="1:9" x14ac:dyDescent="0.25">
      <c r="A87" s="3">
        <v>45796</v>
      </c>
      <c r="B87" t="s">
        <v>4</v>
      </c>
      <c r="C87" t="s">
        <v>16</v>
      </c>
      <c r="D87" s="4" t="s">
        <v>15</v>
      </c>
      <c r="E87">
        <v>668.5</v>
      </c>
      <c r="F87" s="1">
        <v>0.36249999999999999</v>
      </c>
      <c r="G87" s="2">
        <v>39.82</v>
      </c>
      <c r="H87" s="2">
        <v>219.55</v>
      </c>
      <c r="I87" s="2">
        <f t="shared" si="6"/>
        <v>259.37</v>
      </c>
    </row>
    <row r="88" spans="1:9" x14ac:dyDescent="0.25">
      <c r="A88" s="3">
        <v>45874</v>
      </c>
      <c r="B88" t="s">
        <v>4</v>
      </c>
      <c r="C88" t="s">
        <v>51</v>
      </c>
      <c r="D88" s="4" t="s">
        <v>11</v>
      </c>
      <c r="E88">
        <v>677.1</v>
      </c>
      <c r="F88" s="1">
        <v>0.12361111111111112</v>
      </c>
      <c r="G88" s="2">
        <v>218</v>
      </c>
      <c r="H88" s="2">
        <v>246.9</v>
      </c>
      <c r="I88" s="2">
        <f t="shared" si="6"/>
        <v>464.9</v>
      </c>
    </row>
    <row r="89" spans="1:9" x14ac:dyDescent="0.25">
      <c r="A89" s="3">
        <v>45989</v>
      </c>
      <c r="B89" t="s">
        <v>8</v>
      </c>
      <c r="C89" t="s">
        <v>9</v>
      </c>
      <c r="D89" s="4" t="s">
        <v>11</v>
      </c>
      <c r="E89">
        <v>678</v>
      </c>
      <c r="F89" s="1">
        <v>0.27916666666666667</v>
      </c>
      <c r="G89" s="2">
        <v>392.5</v>
      </c>
      <c r="H89" s="2">
        <v>97.83</v>
      </c>
      <c r="I89" s="2">
        <f t="shared" si="6"/>
        <v>490.33</v>
      </c>
    </row>
    <row r="90" spans="1:9" x14ac:dyDescent="0.25">
      <c r="A90" s="3">
        <v>46022</v>
      </c>
      <c r="B90" t="s">
        <v>17</v>
      </c>
      <c r="C90" t="s">
        <v>87</v>
      </c>
      <c r="D90" s="4" t="s">
        <v>15</v>
      </c>
      <c r="E90">
        <v>687</v>
      </c>
      <c r="F90" s="1">
        <v>0.10416666666666667</v>
      </c>
      <c r="G90" s="2">
        <v>924</v>
      </c>
      <c r="H90" s="2">
        <v>197.09</v>
      </c>
      <c r="I90" s="2">
        <f t="shared" si="6"/>
        <v>1121.0899999999999</v>
      </c>
    </row>
    <row r="91" spans="1:9" x14ac:dyDescent="0.25">
      <c r="A91" s="3"/>
      <c r="D91" s="4"/>
      <c r="F91" s="1"/>
      <c r="G91" s="2"/>
      <c r="H91" s="2"/>
      <c r="I91" s="2"/>
    </row>
    <row r="92" spans="1:9" s="9" customFormat="1" ht="21" x14ac:dyDescent="0.35">
      <c r="A92" s="9">
        <v>2023</v>
      </c>
      <c r="D92" s="14"/>
      <c r="G92" s="10"/>
      <c r="H92" s="10"/>
      <c r="I92" s="10"/>
    </row>
    <row r="93" spans="1:9" x14ac:dyDescent="0.25">
      <c r="A93" s="3">
        <v>45685</v>
      </c>
      <c r="B93" t="s">
        <v>17</v>
      </c>
      <c r="C93" t="s">
        <v>54</v>
      </c>
      <c r="D93" s="4" t="s">
        <v>20</v>
      </c>
      <c r="E93">
        <v>691</v>
      </c>
      <c r="F93" s="1">
        <v>0.3527777777777778</v>
      </c>
      <c r="G93" s="2">
        <v>144.24</v>
      </c>
      <c r="H93" s="2">
        <v>76.78</v>
      </c>
      <c r="I93" s="2">
        <f t="shared" ref="I93:I105" si="7">SUM(G93:H93)</f>
        <v>221.02</v>
      </c>
    </row>
    <row r="94" spans="1:9" x14ac:dyDescent="0.25">
      <c r="A94" s="3">
        <v>45703</v>
      </c>
      <c r="B94" t="s">
        <v>4</v>
      </c>
      <c r="C94" t="s">
        <v>16</v>
      </c>
      <c r="D94" s="4" t="s">
        <v>13</v>
      </c>
      <c r="E94">
        <v>697.6</v>
      </c>
      <c r="F94" s="1">
        <v>0.36319444444444443</v>
      </c>
      <c r="G94" s="2">
        <v>30.83</v>
      </c>
      <c r="H94" s="2">
        <v>221.86</v>
      </c>
      <c r="I94" s="2">
        <f t="shared" si="7"/>
        <v>252.69</v>
      </c>
    </row>
    <row r="95" spans="1:9" x14ac:dyDescent="0.25">
      <c r="A95" s="3">
        <v>45706</v>
      </c>
      <c r="B95" t="s">
        <v>8</v>
      </c>
      <c r="C95" t="s">
        <v>30</v>
      </c>
      <c r="D95" s="4" t="s">
        <v>24</v>
      </c>
      <c r="E95">
        <v>700.5</v>
      </c>
      <c r="F95" s="1">
        <v>9.7916666666666666E-2</v>
      </c>
      <c r="G95" s="2">
        <v>109.97</v>
      </c>
      <c r="H95" s="2">
        <v>79.819999999999993</v>
      </c>
      <c r="I95" s="2">
        <f t="shared" si="7"/>
        <v>189.79</v>
      </c>
    </row>
    <row r="96" spans="1:9" x14ac:dyDescent="0.25">
      <c r="A96" s="3">
        <v>45716</v>
      </c>
      <c r="B96" t="s">
        <v>17</v>
      </c>
      <c r="C96" t="s">
        <v>81</v>
      </c>
      <c r="D96" s="4" t="s">
        <v>20</v>
      </c>
      <c r="E96">
        <v>709.9</v>
      </c>
      <c r="F96" s="1">
        <v>0.29097222222222224</v>
      </c>
      <c r="G96" s="2">
        <v>807.93</v>
      </c>
      <c r="H96" s="2">
        <v>223</v>
      </c>
      <c r="I96" s="2">
        <f t="shared" si="7"/>
        <v>1030.9299999999998</v>
      </c>
    </row>
    <row r="97" spans="1:9" x14ac:dyDescent="0.25">
      <c r="A97" s="3">
        <v>45723</v>
      </c>
      <c r="B97" t="s">
        <v>4</v>
      </c>
      <c r="C97" t="s">
        <v>16</v>
      </c>
      <c r="D97" s="4" t="s">
        <v>13</v>
      </c>
      <c r="E97">
        <v>719</v>
      </c>
      <c r="F97" s="1">
        <v>0.10833333333333334</v>
      </c>
      <c r="G97" s="2">
        <v>340.53</v>
      </c>
      <c r="H97" s="2">
        <v>257.39999999999998</v>
      </c>
      <c r="I97" s="2">
        <f t="shared" si="7"/>
        <v>597.92999999999995</v>
      </c>
    </row>
    <row r="98" spans="1:9" x14ac:dyDescent="0.25">
      <c r="A98" s="3">
        <v>45732</v>
      </c>
      <c r="B98" t="s">
        <v>4</v>
      </c>
      <c r="C98" t="s">
        <v>5</v>
      </c>
      <c r="D98" s="4" t="s">
        <v>20</v>
      </c>
      <c r="E98">
        <v>724.6</v>
      </c>
      <c r="F98" s="1">
        <v>0.19444444444444445</v>
      </c>
      <c r="G98" s="2">
        <v>356.62</v>
      </c>
      <c r="H98" s="2">
        <v>117.11</v>
      </c>
      <c r="I98" s="2">
        <f t="shared" si="7"/>
        <v>473.73</v>
      </c>
    </row>
    <row r="99" spans="1:9" x14ac:dyDescent="0.25">
      <c r="A99" s="3">
        <v>45739</v>
      </c>
      <c r="B99" t="s">
        <v>4</v>
      </c>
      <c r="C99" t="s">
        <v>23</v>
      </c>
      <c r="D99" s="4" t="s">
        <v>13</v>
      </c>
      <c r="E99">
        <v>731</v>
      </c>
      <c r="F99" s="1">
        <v>0.30555555555555558</v>
      </c>
      <c r="G99" s="2">
        <v>331.17</v>
      </c>
      <c r="H99" s="2">
        <v>149.96</v>
      </c>
      <c r="I99" s="2">
        <f t="shared" si="7"/>
        <v>481.13</v>
      </c>
    </row>
    <row r="100" spans="1:9" x14ac:dyDescent="0.25">
      <c r="A100" s="3">
        <v>45854</v>
      </c>
      <c r="B100" t="s">
        <v>4</v>
      </c>
      <c r="C100" t="s">
        <v>52</v>
      </c>
      <c r="D100" s="4" t="s">
        <v>11</v>
      </c>
      <c r="E100">
        <v>732</v>
      </c>
      <c r="F100" s="1">
        <v>0.24166666666666667</v>
      </c>
      <c r="G100" s="2">
        <v>187.72</v>
      </c>
      <c r="H100" s="2">
        <v>76.83</v>
      </c>
      <c r="I100" s="2">
        <f t="shared" si="7"/>
        <v>264.55</v>
      </c>
    </row>
    <row r="101" spans="1:9" x14ac:dyDescent="0.25">
      <c r="A101" s="3">
        <v>45925</v>
      </c>
      <c r="B101" t="s">
        <v>17</v>
      </c>
      <c r="C101" t="s">
        <v>53</v>
      </c>
      <c r="D101" s="4" t="s">
        <v>24</v>
      </c>
      <c r="E101">
        <v>732.3</v>
      </c>
      <c r="F101" s="1">
        <v>8.4027777777777785E-2</v>
      </c>
      <c r="G101" s="2">
        <v>101.29</v>
      </c>
      <c r="H101" s="2">
        <v>128.22</v>
      </c>
      <c r="I101" s="2">
        <f t="shared" si="7"/>
        <v>229.51</v>
      </c>
    </row>
    <row r="102" spans="1:9" x14ac:dyDescent="0.25">
      <c r="A102" s="3">
        <v>45925</v>
      </c>
      <c r="B102" t="s">
        <v>4</v>
      </c>
      <c r="C102" t="s">
        <v>31</v>
      </c>
      <c r="D102" s="4" t="s">
        <v>15</v>
      </c>
      <c r="E102">
        <v>732.7</v>
      </c>
      <c r="F102" s="1">
        <v>0.14583333333333334</v>
      </c>
      <c r="G102" s="2">
        <v>390.66</v>
      </c>
      <c r="H102" s="2">
        <v>258.62</v>
      </c>
      <c r="I102" s="2">
        <f t="shared" si="7"/>
        <v>649.28</v>
      </c>
    </row>
    <row r="103" spans="1:9" x14ac:dyDescent="0.25">
      <c r="A103" s="3">
        <v>45947</v>
      </c>
      <c r="B103" t="s">
        <v>4</v>
      </c>
      <c r="C103" t="s">
        <v>23</v>
      </c>
      <c r="D103" s="4" t="s">
        <v>15</v>
      </c>
      <c r="E103">
        <v>741.9</v>
      </c>
      <c r="F103" s="1">
        <v>0.2388888888888889</v>
      </c>
      <c r="G103" s="2">
        <v>391.26</v>
      </c>
      <c r="H103" s="2">
        <v>222.85</v>
      </c>
      <c r="I103" s="2">
        <f t="shared" si="7"/>
        <v>614.11</v>
      </c>
    </row>
    <row r="104" spans="1:9" x14ac:dyDescent="0.25">
      <c r="A104" s="3">
        <v>45956</v>
      </c>
      <c r="B104" t="s">
        <v>4</v>
      </c>
      <c r="C104" t="s">
        <v>55</v>
      </c>
      <c r="D104" s="4" t="s">
        <v>20</v>
      </c>
      <c r="E104">
        <v>751.9</v>
      </c>
      <c r="F104" s="1">
        <v>0.10555555555555556</v>
      </c>
      <c r="G104" s="2">
        <v>466.31</v>
      </c>
      <c r="H104" s="2">
        <v>211.63</v>
      </c>
      <c r="I104" s="2">
        <f t="shared" si="7"/>
        <v>677.94</v>
      </c>
    </row>
    <row r="105" spans="1:9" x14ac:dyDescent="0.25">
      <c r="A105" s="3">
        <v>45958</v>
      </c>
      <c r="B105" t="s">
        <v>17</v>
      </c>
      <c r="C105" t="s">
        <v>53</v>
      </c>
      <c r="D105" s="4" t="s">
        <v>18</v>
      </c>
      <c r="E105">
        <v>754.4</v>
      </c>
      <c r="F105" s="1">
        <v>0.125</v>
      </c>
      <c r="G105" s="2">
        <v>2021.22</v>
      </c>
      <c r="H105" s="2">
        <v>193.73</v>
      </c>
      <c r="I105" s="2">
        <f t="shared" si="7"/>
        <v>2214.9499999999998</v>
      </c>
    </row>
    <row r="106" spans="1:9" x14ac:dyDescent="0.25">
      <c r="A106" s="3">
        <v>45968</v>
      </c>
      <c r="B106" t="s">
        <v>17</v>
      </c>
      <c r="C106" t="s">
        <v>54</v>
      </c>
      <c r="D106" s="4" t="s">
        <v>6</v>
      </c>
      <c r="E106">
        <v>763.8</v>
      </c>
      <c r="F106" s="1">
        <v>0.16666666666666666</v>
      </c>
      <c r="G106" s="2">
        <v>442.22</v>
      </c>
      <c r="H106" s="2" t="s">
        <v>7</v>
      </c>
      <c r="I106" s="2">
        <f>SUM(G106:H106)</f>
        <v>442.22</v>
      </c>
    </row>
    <row r="107" spans="1:9" x14ac:dyDescent="0.25">
      <c r="A107" s="3"/>
      <c r="D107" s="4"/>
      <c r="F107" s="1"/>
      <c r="G107" s="2"/>
      <c r="H107" s="2"/>
      <c r="I107" s="2"/>
    </row>
    <row r="108" spans="1:9" s="9" customFormat="1" ht="21" x14ac:dyDescent="0.35">
      <c r="A108" s="9">
        <v>2024</v>
      </c>
      <c r="D108" s="14"/>
      <c r="G108" s="10"/>
      <c r="H108" s="10"/>
      <c r="I108" s="10"/>
    </row>
    <row r="109" spans="1:9" x14ac:dyDescent="0.25">
      <c r="A109" s="3">
        <v>45679</v>
      </c>
      <c r="B109" t="s">
        <v>4</v>
      </c>
      <c r="C109" t="s">
        <v>57</v>
      </c>
      <c r="D109" s="4" t="s">
        <v>20</v>
      </c>
      <c r="E109">
        <v>768</v>
      </c>
      <c r="F109" s="1">
        <v>0.21041666666666667</v>
      </c>
      <c r="G109" s="2">
        <v>122.33</v>
      </c>
      <c r="H109" s="2">
        <v>160.91999999999999</v>
      </c>
      <c r="I109" s="2">
        <f t="shared" ref="I109:I122" si="8">SUM(G109:H109)</f>
        <v>283.25</v>
      </c>
    </row>
    <row r="110" spans="1:9" x14ac:dyDescent="0.25">
      <c r="A110" s="3">
        <v>45725</v>
      </c>
      <c r="B110" t="s">
        <v>8</v>
      </c>
      <c r="C110" t="s">
        <v>10</v>
      </c>
      <c r="D110" s="4" t="s">
        <v>18</v>
      </c>
      <c r="E110">
        <v>768.5</v>
      </c>
      <c r="F110" s="1">
        <v>0.35208333333333336</v>
      </c>
      <c r="G110" s="2">
        <v>386.4</v>
      </c>
      <c r="H110" s="2">
        <v>233.55</v>
      </c>
      <c r="I110" s="2">
        <f t="shared" si="8"/>
        <v>619.95000000000005</v>
      </c>
    </row>
    <row r="111" spans="1:9" x14ac:dyDescent="0.25">
      <c r="A111" s="3">
        <v>45738</v>
      </c>
      <c r="B111" t="s">
        <v>8</v>
      </c>
      <c r="C111" t="s">
        <v>39</v>
      </c>
      <c r="D111" s="4" t="s">
        <v>20</v>
      </c>
      <c r="E111">
        <v>769.9</v>
      </c>
      <c r="F111" s="1">
        <v>0.26874999999999999</v>
      </c>
      <c r="G111" s="2">
        <v>340.69</v>
      </c>
      <c r="H111" s="2">
        <v>209.06</v>
      </c>
      <c r="I111" s="2">
        <f t="shared" si="8"/>
        <v>549.75</v>
      </c>
    </row>
    <row r="112" spans="1:9" x14ac:dyDescent="0.25">
      <c r="A112" s="3">
        <v>45777</v>
      </c>
      <c r="B112" t="s">
        <v>17</v>
      </c>
      <c r="C112" t="s">
        <v>40</v>
      </c>
      <c r="D112" s="4" t="s">
        <v>15</v>
      </c>
      <c r="E112">
        <v>776.9</v>
      </c>
      <c r="F112" s="1">
        <v>0.23194444444444445</v>
      </c>
      <c r="G112" s="2">
        <v>359.14</v>
      </c>
      <c r="H112" s="2">
        <v>122.3</v>
      </c>
      <c r="I112" s="2">
        <f t="shared" si="8"/>
        <v>481.44</v>
      </c>
    </row>
    <row r="113" spans="1:9" x14ac:dyDescent="0.25">
      <c r="A113" s="3">
        <v>45778</v>
      </c>
      <c r="B113" t="s">
        <v>4</v>
      </c>
      <c r="C113" t="s">
        <v>56</v>
      </c>
      <c r="D113" s="4" t="s">
        <v>20</v>
      </c>
      <c r="E113">
        <v>784.4</v>
      </c>
      <c r="F113" s="1">
        <v>8.8888888888888892E-2</v>
      </c>
      <c r="G113" s="2">
        <v>455.03</v>
      </c>
      <c r="H113" s="2">
        <v>260.48</v>
      </c>
      <c r="I113" s="2">
        <f t="shared" si="8"/>
        <v>715.51</v>
      </c>
    </row>
    <row r="114" spans="1:9" x14ac:dyDescent="0.25">
      <c r="A114" s="3">
        <v>45828</v>
      </c>
      <c r="B114" t="s">
        <v>4</v>
      </c>
      <c r="C114" t="s">
        <v>21</v>
      </c>
      <c r="D114" s="4" t="s">
        <v>24</v>
      </c>
      <c r="E114">
        <v>791.6</v>
      </c>
      <c r="F114" s="1">
        <v>0.31805555555555554</v>
      </c>
      <c r="G114" s="2">
        <v>150.65</v>
      </c>
      <c r="H114" s="2">
        <v>135.54</v>
      </c>
      <c r="I114" s="2">
        <f t="shared" si="8"/>
        <v>286.19</v>
      </c>
    </row>
    <row r="115" spans="1:9" x14ac:dyDescent="0.25">
      <c r="A115" s="3">
        <v>45830</v>
      </c>
      <c r="B115" t="s">
        <v>17</v>
      </c>
      <c r="C115" t="s">
        <v>38</v>
      </c>
      <c r="D115" s="4" t="s">
        <v>6</v>
      </c>
      <c r="E115">
        <v>795.6</v>
      </c>
      <c r="F115" s="1">
        <v>0.11388888888888889</v>
      </c>
      <c r="G115" s="2">
        <v>406.96</v>
      </c>
      <c r="H115" s="2" t="s">
        <v>7</v>
      </c>
      <c r="I115" s="2">
        <f t="shared" si="8"/>
        <v>406.96</v>
      </c>
    </row>
    <row r="116" spans="1:9" x14ac:dyDescent="0.25">
      <c r="A116" s="3">
        <v>45842</v>
      </c>
      <c r="B116" t="s">
        <v>17</v>
      </c>
      <c r="C116" t="s">
        <v>35</v>
      </c>
      <c r="D116" s="4" t="s">
        <v>20</v>
      </c>
      <c r="E116">
        <v>796</v>
      </c>
      <c r="F116" s="1">
        <v>0.27777777777777779</v>
      </c>
      <c r="G116" s="2">
        <v>217.87</v>
      </c>
      <c r="H116" s="2">
        <v>113.17</v>
      </c>
      <c r="I116" s="2">
        <f t="shared" si="8"/>
        <v>331.04</v>
      </c>
    </row>
    <row r="117" spans="1:9" x14ac:dyDescent="0.25">
      <c r="A117" s="3">
        <v>45853</v>
      </c>
      <c r="B117" t="s">
        <v>4</v>
      </c>
      <c r="C117" t="s">
        <v>52</v>
      </c>
      <c r="D117" s="4" t="s">
        <v>13</v>
      </c>
      <c r="E117">
        <v>801.2</v>
      </c>
      <c r="F117" s="1">
        <v>0.22500000000000001</v>
      </c>
      <c r="G117" s="2">
        <v>119.49</v>
      </c>
      <c r="H117" s="2">
        <v>213.4</v>
      </c>
      <c r="I117" s="2">
        <f t="shared" si="8"/>
        <v>332.89</v>
      </c>
    </row>
    <row r="118" spans="1:9" x14ac:dyDescent="0.25">
      <c r="A118" s="3">
        <v>45857</v>
      </c>
      <c r="B118" t="s">
        <v>4</v>
      </c>
      <c r="C118" t="s">
        <v>55</v>
      </c>
      <c r="D118" s="4" t="s">
        <v>11</v>
      </c>
      <c r="E118">
        <v>810</v>
      </c>
      <c r="F118" s="1">
        <v>0.32083333333333336</v>
      </c>
      <c r="G118" s="2">
        <v>413.84</v>
      </c>
      <c r="H118" s="2">
        <v>64.400000000000006</v>
      </c>
      <c r="I118" s="2">
        <f t="shared" si="8"/>
        <v>478.24</v>
      </c>
    </row>
    <row r="119" spans="1:9" x14ac:dyDescent="0.25">
      <c r="A119" s="3">
        <v>45896</v>
      </c>
      <c r="B119" t="s">
        <v>4</v>
      </c>
      <c r="C119" t="s">
        <v>56</v>
      </c>
      <c r="D119" s="4" t="s">
        <v>11</v>
      </c>
      <c r="E119">
        <v>818.4</v>
      </c>
      <c r="F119" s="1">
        <v>0.31319444444444444</v>
      </c>
      <c r="G119" s="2">
        <v>321.20999999999998</v>
      </c>
      <c r="H119" s="2">
        <v>75.02</v>
      </c>
      <c r="I119" s="2">
        <f t="shared" si="8"/>
        <v>396.22999999999996</v>
      </c>
    </row>
    <row r="120" spans="1:9" x14ac:dyDescent="0.25">
      <c r="A120" s="3">
        <v>45897</v>
      </c>
      <c r="B120" t="s">
        <v>4</v>
      </c>
      <c r="C120" t="s">
        <v>36</v>
      </c>
      <c r="D120" s="4" t="s">
        <v>15</v>
      </c>
      <c r="E120">
        <v>819.6</v>
      </c>
      <c r="F120" s="1">
        <v>0.3263888888888889</v>
      </c>
      <c r="G120" s="2">
        <v>472.45</v>
      </c>
      <c r="H120" s="2">
        <v>109.15</v>
      </c>
      <c r="I120" s="2">
        <f t="shared" si="8"/>
        <v>581.6</v>
      </c>
    </row>
    <row r="121" spans="1:9" x14ac:dyDescent="0.25">
      <c r="A121" s="3">
        <v>45923</v>
      </c>
      <c r="B121" t="s">
        <v>17</v>
      </c>
      <c r="C121" t="s">
        <v>44</v>
      </c>
      <c r="D121" s="4" t="s">
        <v>6</v>
      </c>
      <c r="E121">
        <v>828.8</v>
      </c>
      <c r="F121" s="1">
        <v>0.14305555555555555</v>
      </c>
      <c r="G121" s="2">
        <v>233.69</v>
      </c>
      <c r="H121" s="2" t="s">
        <v>7</v>
      </c>
      <c r="I121" s="2">
        <f t="shared" si="8"/>
        <v>233.69</v>
      </c>
    </row>
    <row r="122" spans="1:9" x14ac:dyDescent="0.25">
      <c r="A122" s="3">
        <v>46002</v>
      </c>
      <c r="B122" t="s">
        <v>17</v>
      </c>
      <c r="C122" t="s">
        <v>82</v>
      </c>
      <c r="D122" s="4" t="s">
        <v>6</v>
      </c>
      <c r="E122">
        <v>831.5</v>
      </c>
      <c r="F122" s="1">
        <v>4.8611111111111112E-2</v>
      </c>
      <c r="G122" s="2">
        <v>187.53</v>
      </c>
      <c r="H122" s="2" t="s">
        <v>7</v>
      </c>
      <c r="I122" s="2">
        <f t="shared" si="8"/>
        <v>187.53</v>
      </c>
    </row>
    <row r="123" spans="1:9" x14ac:dyDescent="0.25">
      <c r="A123" s="3"/>
      <c r="D123" s="4"/>
      <c r="F123" s="1"/>
      <c r="G123" s="2"/>
      <c r="H123" s="2"/>
      <c r="I123" s="2"/>
    </row>
    <row r="124" spans="1:9" s="9" customFormat="1" ht="21" x14ac:dyDescent="0.35">
      <c r="A124" s="9">
        <v>2025</v>
      </c>
      <c r="D124" s="14"/>
      <c r="G124" s="10"/>
      <c r="H124" s="10"/>
      <c r="I124" s="10"/>
    </row>
    <row r="125" spans="1:9" x14ac:dyDescent="0.25">
      <c r="A125" s="3">
        <v>45710</v>
      </c>
      <c r="B125" t="s">
        <v>4</v>
      </c>
      <c r="C125" t="s">
        <v>57</v>
      </c>
      <c r="D125" s="4" t="s">
        <v>24</v>
      </c>
      <c r="E125">
        <v>839.2</v>
      </c>
      <c r="F125" s="1">
        <v>0.12291666666666666</v>
      </c>
      <c r="G125" s="2">
        <v>187.94</v>
      </c>
      <c r="H125" s="2">
        <v>114.51</v>
      </c>
      <c r="I125" s="2">
        <f t="shared" ref="I125:I140" si="9">SUM(G125:H125)</f>
        <v>302.45</v>
      </c>
    </row>
    <row r="126" spans="1:9" x14ac:dyDescent="0.25">
      <c r="A126" s="3">
        <v>45764</v>
      </c>
      <c r="B126" t="s">
        <v>8</v>
      </c>
      <c r="C126" t="s">
        <v>12</v>
      </c>
      <c r="D126" s="4" t="s">
        <v>24</v>
      </c>
      <c r="E126">
        <v>848.3</v>
      </c>
      <c r="F126" s="1">
        <v>0.25486111111111109</v>
      </c>
      <c r="G126" s="2">
        <v>168.09</v>
      </c>
      <c r="H126" s="2">
        <v>197.47</v>
      </c>
      <c r="I126" s="2">
        <f t="shared" si="9"/>
        <v>365.56</v>
      </c>
    </row>
    <row r="127" spans="1:9" x14ac:dyDescent="0.25">
      <c r="A127" s="3">
        <v>45791</v>
      </c>
      <c r="B127" t="s">
        <v>8</v>
      </c>
      <c r="C127" t="s">
        <v>58</v>
      </c>
      <c r="D127" s="4" t="s">
        <v>11</v>
      </c>
      <c r="E127">
        <v>856.8</v>
      </c>
      <c r="F127" s="1">
        <v>0.36805555555555558</v>
      </c>
      <c r="G127" s="2">
        <v>78.709999999999994</v>
      </c>
      <c r="H127" s="2">
        <v>218.15</v>
      </c>
      <c r="I127" s="2">
        <f t="shared" si="9"/>
        <v>296.86</v>
      </c>
    </row>
    <row r="128" spans="1:9" x14ac:dyDescent="0.25">
      <c r="A128" s="3">
        <v>45798</v>
      </c>
      <c r="B128" t="s">
        <v>4</v>
      </c>
      <c r="C128" t="s">
        <v>83</v>
      </c>
      <c r="D128" s="4" t="s">
        <v>15</v>
      </c>
      <c r="E128">
        <v>857.5</v>
      </c>
      <c r="F128" s="1">
        <v>0.14027777777777778</v>
      </c>
      <c r="G128" s="15">
        <v>0</v>
      </c>
      <c r="H128" s="15">
        <v>0</v>
      </c>
      <c r="I128" s="2">
        <f t="shared" si="9"/>
        <v>0</v>
      </c>
    </row>
    <row r="129" spans="1:9" x14ac:dyDescent="0.25">
      <c r="A129" s="3">
        <v>45807</v>
      </c>
      <c r="B129" t="s">
        <v>8</v>
      </c>
      <c r="C129" t="s">
        <v>59</v>
      </c>
      <c r="D129" s="4" t="s">
        <v>15</v>
      </c>
      <c r="E129">
        <v>859</v>
      </c>
      <c r="F129" s="1">
        <v>0.23680555555555555</v>
      </c>
      <c r="G129" s="2">
        <v>154.91</v>
      </c>
      <c r="H129" s="2">
        <v>133.11000000000001</v>
      </c>
      <c r="I129" s="2">
        <f t="shared" si="9"/>
        <v>288.02</v>
      </c>
    </row>
    <row r="130" spans="1:9" x14ac:dyDescent="0.25">
      <c r="A130" s="3">
        <v>45865</v>
      </c>
      <c r="B130" t="s">
        <v>8</v>
      </c>
      <c r="C130" t="s">
        <v>88</v>
      </c>
      <c r="D130" s="4" t="s">
        <v>6</v>
      </c>
      <c r="E130">
        <v>868.2</v>
      </c>
      <c r="F130" s="1">
        <v>9.375E-2</v>
      </c>
      <c r="G130" s="2">
        <v>388.84</v>
      </c>
      <c r="H130" s="2" t="s">
        <v>7</v>
      </c>
      <c r="I130" s="2">
        <f t="shared" si="9"/>
        <v>388.84</v>
      </c>
    </row>
    <row r="131" spans="1:9" x14ac:dyDescent="0.25">
      <c r="A131" s="3">
        <v>45886</v>
      </c>
      <c r="B131" t="s">
        <v>4</v>
      </c>
      <c r="C131" t="s">
        <v>28</v>
      </c>
      <c r="D131" s="4" t="s">
        <v>18</v>
      </c>
      <c r="E131">
        <v>875.8</v>
      </c>
      <c r="F131" s="1">
        <v>0.17569444444444443</v>
      </c>
      <c r="G131" s="2">
        <v>97.47</v>
      </c>
      <c r="H131" s="2">
        <v>171</v>
      </c>
      <c r="I131" s="2">
        <f t="shared" si="9"/>
        <v>268.47000000000003</v>
      </c>
    </row>
    <row r="132" spans="1:9" x14ac:dyDescent="0.25">
      <c r="A132" s="3">
        <v>45891</v>
      </c>
      <c r="B132" t="s">
        <v>8</v>
      </c>
      <c r="C132" t="s">
        <v>47</v>
      </c>
      <c r="D132" s="4" t="s">
        <v>20</v>
      </c>
      <c r="E132">
        <v>880.8</v>
      </c>
      <c r="F132" s="1">
        <v>0.20277777777777778</v>
      </c>
      <c r="G132" s="2">
        <v>115.04</v>
      </c>
      <c r="H132" s="2">
        <v>240.69</v>
      </c>
      <c r="I132" s="2">
        <f t="shared" si="9"/>
        <v>355.73</v>
      </c>
    </row>
    <row r="133" spans="1:9" x14ac:dyDescent="0.25">
      <c r="A133" s="3">
        <v>45903</v>
      </c>
      <c r="B133" t="s">
        <v>17</v>
      </c>
      <c r="C133" t="s">
        <v>35</v>
      </c>
      <c r="D133" s="4" t="s">
        <v>6</v>
      </c>
      <c r="E133">
        <v>887.1</v>
      </c>
      <c r="F133" s="1">
        <v>0.15972222222222221</v>
      </c>
      <c r="G133" s="2">
        <v>383.82</v>
      </c>
      <c r="H133" s="2" t="s">
        <v>7</v>
      </c>
      <c r="I133" s="2">
        <f t="shared" si="9"/>
        <v>383.82</v>
      </c>
    </row>
    <row r="134" spans="1:9" x14ac:dyDescent="0.25">
      <c r="A134" s="3">
        <v>45904</v>
      </c>
      <c r="B134" t="s">
        <v>4</v>
      </c>
      <c r="C134" t="s">
        <v>52</v>
      </c>
      <c r="D134" s="4" t="s">
        <v>13</v>
      </c>
      <c r="E134">
        <v>889.6</v>
      </c>
      <c r="F134" s="1">
        <v>0.19305555555555556</v>
      </c>
      <c r="G134" s="2">
        <v>249.48</v>
      </c>
      <c r="H134" s="2">
        <v>177.9</v>
      </c>
      <c r="I134" s="2">
        <f t="shared" si="9"/>
        <v>427.38</v>
      </c>
    </row>
    <row r="135" spans="1:9" x14ac:dyDescent="0.25">
      <c r="A135" s="3">
        <v>45927</v>
      </c>
      <c r="B135" t="s">
        <v>4</v>
      </c>
      <c r="C135" t="s">
        <v>55</v>
      </c>
      <c r="D135" s="4" t="s">
        <v>6</v>
      </c>
      <c r="E135">
        <v>898.6</v>
      </c>
      <c r="F135" s="1">
        <v>0.34513888888888888</v>
      </c>
      <c r="G135" s="2">
        <v>139.05000000000001</v>
      </c>
      <c r="H135" s="2" t="s">
        <v>7</v>
      </c>
      <c r="I135" s="2">
        <f t="shared" si="9"/>
        <v>139.05000000000001</v>
      </c>
    </row>
    <row r="136" spans="1:9" x14ac:dyDescent="0.25">
      <c r="A136" s="3">
        <v>45954</v>
      </c>
      <c r="B136" t="s">
        <v>8</v>
      </c>
      <c r="C136" t="s">
        <v>12</v>
      </c>
      <c r="D136" s="4" t="s">
        <v>24</v>
      </c>
      <c r="E136">
        <v>906.1</v>
      </c>
      <c r="F136" s="1">
        <v>0.33541666666666664</v>
      </c>
      <c r="G136" s="2">
        <v>66.53</v>
      </c>
      <c r="H136" s="2">
        <v>66.63</v>
      </c>
      <c r="I136" s="2">
        <f t="shared" si="9"/>
        <v>133.16</v>
      </c>
    </row>
    <row r="137" spans="1:9" x14ac:dyDescent="0.25">
      <c r="A137" s="3">
        <v>45978</v>
      </c>
      <c r="B137" t="s">
        <v>4</v>
      </c>
      <c r="C137" t="s">
        <v>60</v>
      </c>
      <c r="D137" s="4" t="s">
        <v>20</v>
      </c>
      <c r="E137">
        <v>909.8</v>
      </c>
      <c r="F137" s="1">
        <v>0.3215277777777778</v>
      </c>
      <c r="G137" s="2">
        <v>381.85</v>
      </c>
      <c r="H137" s="2">
        <v>85.86</v>
      </c>
      <c r="I137" s="2">
        <f t="shared" si="9"/>
        <v>467.71000000000004</v>
      </c>
    </row>
    <row r="138" spans="1:9" x14ac:dyDescent="0.25">
      <c r="A138" s="3">
        <v>46003</v>
      </c>
      <c r="B138" t="s">
        <v>17</v>
      </c>
      <c r="C138" t="s">
        <v>45</v>
      </c>
      <c r="D138" s="4" t="s">
        <v>24</v>
      </c>
      <c r="E138">
        <v>917.6</v>
      </c>
      <c r="F138" s="1">
        <v>5.486111111111111E-2</v>
      </c>
      <c r="G138" s="2">
        <v>311.25</v>
      </c>
      <c r="H138" s="2">
        <v>274.52999999999997</v>
      </c>
      <c r="I138" s="2">
        <f t="shared" si="9"/>
        <v>585.78</v>
      </c>
    </row>
    <row r="139" spans="1:9" x14ac:dyDescent="0.25">
      <c r="A139" s="3">
        <v>46003</v>
      </c>
      <c r="B139" t="s">
        <v>17</v>
      </c>
      <c r="C139" t="s">
        <v>53</v>
      </c>
      <c r="D139" s="4" t="s">
        <v>20</v>
      </c>
      <c r="E139">
        <v>921.7</v>
      </c>
      <c r="F139" s="1">
        <v>0.32569444444444445</v>
      </c>
      <c r="G139" s="2">
        <v>2480.8200000000002</v>
      </c>
      <c r="H139" s="2">
        <v>253.45</v>
      </c>
      <c r="I139" s="2">
        <f t="shared" si="9"/>
        <v>2734.27</v>
      </c>
    </row>
    <row r="140" spans="1:9" x14ac:dyDescent="0.25">
      <c r="A140" s="3">
        <v>46012</v>
      </c>
      <c r="B140" t="s">
        <v>17</v>
      </c>
      <c r="C140" t="s">
        <v>41</v>
      </c>
      <c r="D140" s="4" t="s">
        <v>11</v>
      </c>
      <c r="E140">
        <v>924.5</v>
      </c>
      <c r="F140" s="1">
        <v>4.6527777777777779E-2</v>
      </c>
      <c r="G140" s="2">
        <v>364.97</v>
      </c>
      <c r="H140" s="2">
        <v>247.29</v>
      </c>
      <c r="I140" s="2">
        <f t="shared" si="9"/>
        <v>612.26</v>
      </c>
    </row>
    <row r="141" spans="1:9" x14ac:dyDescent="0.25">
      <c r="D141" s="4"/>
    </row>
    <row r="142" spans="1:9" x14ac:dyDescent="0.25">
      <c r="I142" s="2">
        <f>SUMIF(D10:D140,"S",I10:I140)</f>
        <v>5634.9299999999994</v>
      </c>
    </row>
  </sheetData>
  <sortState xmlns:xlrd2="http://schemas.microsoft.com/office/spreadsheetml/2017/richdata2" ref="E93:E106">
    <sortCondition ref="E93:E106"/>
  </sortState>
  <mergeCells count="11">
    <mergeCell ref="I8:J8"/>
    <mergeCell ref="I9:J9"/>
    <mergeCell ref="E3:G3"/>
    <mergeCell ref="E4:G4"/>
    <mergeCell ref="E5:G5"/>
    <mergeCell ref="I7:J7"/>
    <mergeCell ref="I2:J2"/>
    <mergeCell ref="I3:J3"/>
    <mergeCell ref="I4:J4"/>
    <mergeCell ref="I5:J5"/>
    <mergeCell ref="I6:J6"/>
  </mergeCells>
  <pageMargins left="0.75" right="0.75" top="1" bottom="1" header="0.5" footer="0.5"/>
  <pageSetup orientation="portrait" horizontalDpi="0" verticalDpi="0"/>
  <ignoredErrors>
    <ignoredError sqref="I16 I17:I25 I30 I28:I29 I31:I108 I123:I124 I109:I122 I125:I140" formulaRange="1"/>
  </ignoredError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boat-maintenance-log.xlsx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Imse</cp:lastModifiedBy>
  <dcterms:created xsi:type="dcterms:W3CDTF">2025-05-16T20:56:38Z</dcterms:created>
  <dcterms:modified xsi:type="dcterms:W3CDTF">2025-11-26T22:47:43Z</dcterms:modified>
</cp:coreProperties>
</file>