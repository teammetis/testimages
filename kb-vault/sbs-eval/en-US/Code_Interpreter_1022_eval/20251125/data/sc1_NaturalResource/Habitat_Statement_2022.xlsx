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1_NaturalResource\"/>
    </mc:Choice>
  </mc:AlternateContent>
  <xr:revisionPtr revIDLastSave="0" documentId="13_ncr:1_{D6292DB3-AD4F-48C6-8DEE-F3AE44DA1E2C}" xr6:coauthVersionLast="47" xr6:coauthVersionMax="47" xr10:uidLastSave="{00000000-0000-0000-0000-000000000000}"/>
  <bookViews>
    <workbookView xWindow="735" yWindow="735" windowWidth="19290" windowHeight="10320" xr2:uid="{00000000-000D-0000-FFFF-FFFF00000000}"/>
  </bookViews>
  <sheets>
    <sheet name="Statement of Activ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C82" i="1"/>
  <c r="C85" i="1" s="1"/>
  <c r="B80" i="1"/>
  <c r="C80" i="1"/>
  <c r="B85" i="1"/>
  <c r="C91" i="1"/>
  <c r="B91" i="1"/>
  <c r="B31" i="1"/>
  <c r="D31" i="1"/>
  <c r="E31" i="1"/>
  <c r="E24" i="1"/>
  <c r="D24" i="1"/>
  <c r="C24" i="1"/>
  <c r="C33" i="1" s="1"/>
  <c r="C36" i="1" s="1"/>
  <c r="B24" i="1"/>
  <c r="D33" i="1" l="1"/>
  <c r="D36" i="1" s="1"/>
  <c r="B33" i="1"/>
  <c r="B36" i="1" s="1"/>
  <c r="E33" i="1"/>
  <c r="E36" i="1" s="1"/>
</calcChain>
</file>

<file path=xl/sharedStrings.xml><?xml version="1.0" encoding="utf-8"?>
<sst xmlns="http://schemas.openxmlformats.org/spreadsheetml/2006/main" count="75" uniqueCount="75">
  <si>
    <t>HABITAT FOR HUMANITY SEATTLE-KING COUNTY AND AFFILIATES</t>
  </si>
  <si>
    <t>Consolidated Statement of Activities</t>
  </si>
  <si>
    <t>For the Year Ended June 30, 2022 (With Comparative Totals for 2021)</t>
  </si>
  <si>
    <t>2021</t>
  </si>
  <si>
    <t>2022 Total</t>
  </si>
  <si>
    <t>As Restated</t>
  </si>
  <si>
    <t>(Note 16)</t>
  </si>
  <si>
    <t>Support and Revenue:</t>
  </si>
  <si>
    <t>Contributions</t>
  </si>
  <si>
    <t>Grants</t>
  </si>
  <si>
    <t>In-kind materials donated for resale</t>
  </si>
  <si>
    <t>In-kind donations for office and construction</t>
  </si>
  <si>
    <t>Contribution related to affiliation with not-for-profit entity</t>
  </si>
  <si>
    <t>Sales of homes</t>
  </si>
  <si>
    <t>Other income</t>
  </si>
  <si>
    <t>Mortgage note discount amortization</t>
  </si>
  <si>
    <t>Habitat store income</t>
  </si>
  <si>
    <t>Repair and rehabilitation income</t>
  </si>
  <si>
    <t>Net assets released from restriction</t>
  </si>
  <si>
    <t>Total Support and Revenue</t>
  </si>
  <si>
    <t>Expenses:</t>
  </si>
  <si>
    <t>Program services</t>
  </si>
  <si>
    <t>Management and administration</t>
  </si>
  <si>
    <t>Fundraising</t>
  </si>
  <si>
    <t>Total Expenses</t>
  </si>
  <si>
    <t>Change in Net Assets</t>
  </si>
  <si>
    <t>Net assets, beginning of year</t>
  </si>
  <si>
    <t>Net Assets, End of Year</t>
  </si>
  <si>
    <t>Donor Restrictions</t>
  </si>
  <si>
    <t>With</t>
  </si>
  <si>
    <t>2021 As Restated</t>
  </si>
  <si>
    <t>Cash Flows From Operating Activities:</t>
  </si>
  <si>
    <t>Change in net assets</t>
  </si>
  <si>
    <t>Adjustments to reconcile change in net assets to net cash used by operating activities</t>
  </si>
  <si>
    <t>Depreciation and amortization</t>
  </si>
  <si>
    <t>Gain on disposal of equipment</t>
  </si>
  <si>
    <t>Discounts on mortgages</t>
  </si>
  <si>
    <t>In-kind contributions related to affiliation with not-for-profit entity</t>
  </si>
  <si>
    <t>Changes in assets and liabilities:</t>
  </si>
  <si>
    <t>Inventory held for sale - Habitat store</t>
  </si>
  <si>
    <t>Grants and other receivables</t>
  </si>
  <si>
    <t>Pledges receivable, net</t>
  </si>
  <si>
    <t>Construction in progress</t>
  </si>
  <si>
    <t>Prepaid expenses and other</t>
  </si>
  <si>
    <t>Deferred rent</t>
  </si>
  <si>
    <t>Accounts payable</t>
  </si>
  <si>
    <t>Deferred interest</t>
  </si>
  <si>
    <t>Other noncurrent liabilities</t>
  </si>
  <si>
    <t>Accrued expenses</t>
  </si>
  <si>
    <t>Net Cash Used by Operating Activities</t>
  </si>
  <si>
    <t>Cash Flows From Investing Activities:</t>
  </si>
  <si>
    <t>Proceeds from receipts on unpledged mortgages</t>
  </si>
  <si>
    <t>Proceeds from receipts on pledged mortgages</t>
  </si>
  <si>
    <t>Proceeds from sale of property and equipment</t>
  </si>
  <si>
    <t>Purchases of property and equipment</t>
  </si>
  <si>
    <t>Purchase of investment in new markets tax credit leveraged lender</t>
  </si>
  <si>
    <t>Net Cash (Used in) Provided by Investing Activities</t>
  </si>
  <si>
    <t>Cash Flows From Financing Activities:</t>
  </si>
  <si>
    <t>Payment of loan fees</t>
  </si>
  <si>
    <t>Payments on secured borrowings</t>
  </si>
  <si>
    <t>Proceeds from notes payable</t>
  </si>
  <si>
    <t>Repayment on notes payable</t>
  </si>
  <si>
    <t>Net Cash Provided by Financing Activities</t>
  </si>
  <si>
    <t>Net Change in Cash and Cash Equivalents</t>
  </si>
  <si>
    <t>Cash and cash equivalents, beginning of year</t>
  </si>
  <si>
    <t>Cash and Cash Equivalents, End of Year</t>
  </si>
  <si>
    <t>Supplemental Cash Flow Information:</t>
  </si>
  <si>
    <t>Cash and cash equivalents</t>
  </si>
  <si>
    <t>Restricted cash</t>
  </si>
  <si>
    <t>Cash and Restricted Cash Per Cash Flow Statement</t>
  </si>
  <si>
    <t>Supplemental information:</t>
  </si>
  <si>
    <t>Property, plant and equipment and mortgages receivable acquired through contribution</t>
  </si>
  <si>
    <t>Debt assumed as part of acquisition of construction in progress</t>
  </si>
  <si>
    <t>Consolidated Statement of Cash Flows</t>
  </si>
  <si>
    <t>Without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</si>
</sst>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164" fontId="4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2" zoomScale="169" zoomScaleNormal="169" workbookViewId="0">
      <selection activeCell="B8" sqref="B8"/>
    </sheetView>
  </sheetViews>
  <sheetFormatPr defaultColWidth="8.85546875" defaultRowHeight="15" x14ac:dyDescent="0.25"/>
  <cols>
    <col min="1" max="1" width="52" customWidth="1"/>
    <col min="2" max="2" width="21.140625" customWidth="1"/>
    <col min="3" max="3" width="18.42578125" customWidth="1"/>
    <col min="4" max="4" width="16.140625" customWidth="1"/>
    <col min="5" max="5" width="15.85546875" customWidth="1"/>
    <col min="6" max="6" width="10.140625" bestFit="1" customWidth="1"/>
  </cols>
  <sheetData>
    <row r="1" spans="1:6" x14ac:dyDescent="0.25">
      <c r="A1" s="16" t="s">
        <v>0</v>
      </c>
      <c r="B1" s="16"/>
      <c r="C1" s="16"/>
      <c r="D1" s="16"/>
      <c r="E1" s="16"/>
      <c r="F1" s="1"/>
    </row>
    <row r="2" spans="1:6" x14ac:dyDescent="0.25">
      <c r="A2" s="16"/>
      <c r="B2" s="16"/>
      <c r="C2" s="16"/>
      <c r="D2" s="16"/>
      <c r="E2" s="16"/>
      <c r="F2" s="1"/>
    </row>
    <row r="3" spans="1:6" x14ac:dyDescent="0.25">
      <c r="A3" s="16" t="s">
        <v>1</v>
      </c>
      <c r="B3" s="16"/>
      <c r="C3" s="16"/>
      <c r="D3" s="16"/>
      <c r="E3" s="16"/>
      <c r="F3" s="1"/>
    </row>
    <row r="4" spans="1:6" x14ac:dyDescent="0.25">
      <c r="A4" s="16" t="s">
        <v>2</v>
      </c>
      <c r="B4" s="16"/>
      <c r="C4" s="16"/>
      <c r="D4" s="16"/>
      <c r="E4" s="16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2"/>
      <c r="C7" s="2"/>
      <c r="D7" s="2"/>
      <c r="F7" s="1"/>
    </row>
    <row r="8" spans="1:6" x14ac:dyDescent="0.25">
      <c r="B8" s="2" t="s">
        <v>74</v>
      </c>
      <c r="C8" s="2" t="s">
        <v>29</v>
      </c>
      <c r="D8" s="2"/>
      <c r="E8" s="2" t="s">
        <v>3</v>
      </c>
    </row>
    <row r="9" spans="1:6" x14ac:dyDescent="0.25">
      <c r="B9" s="17" t="s">
        <v>28</v>
      </c>
      <c r="C9" s="17"/>
      <c r="D9" s="2" t="s">
        <v>4</v>
      </c>
      <c r="E9" s="2" t="s">
        <v>5</v>
      </c>
    </row>
    <row r="10" spans="1:6" x14ac:dyDescent="0.25">
      <c r="B10" s="4"/>
      <c r="C10" s="4"/>
      <c r="D10" s="1"/>
      <c r="E10" s="2" t="s">
        <v>6</v>
      </c>
    </row>
    <row r="11" spans="1:6" x14ac:dyDescent="0.25">
      <c r="A11" s="2" t="s">
        <v>7</v>
      </c>
      <c r="B11" s="1"/>
      <c r="C11" s="1"/>
      <c r="D11" s="1"/>
      <c r="E11" s="1"/>
      <c r="F11" s="1"/>
    </row>
    <row r="12" spans="1:6" x14ac:dyDescent="0.25">
      <c r="A12" s="3" t="s">
        <v>8</v>
      </c>
      <c r="B12" s="6">
        <v>11413227</v>
      </c>
      <c r="C12" s="6">
        <v>1238684</v>
      </c>
      <c r="D12" s="6">
        <v>12651911</v>
      </c>
      <c r="E12" s="6">
        <v>5271135</v>
      </c>
      <c r="F12" s="1"/>
    </row>
    <row r="13" spans="1:6" x14ac:dyDescent="0.25">
      <c r="A13" s="3" t="s">
        <v>9</v>
      </c>
      <c r="B13" s="6"/>
      <c r="C13" s="6">
        <v>317521</v>
      </c>
      <c r="D13" s="6">
        <v>317521</v>
      </c>
      <c r="E13" s="6">
        <v>481888</v>
      </c>
      <c r="F13" s="1"/>
    </row>
    <row r="14" spans="1:6" x14ac:dyDescent="0.25">
      <c r="A14" s="3" t="s">
        <v>10</v>
      </c>
      <c r="B14" s="6">
        <v>4360040</v>
      </c>
      <c r="C14" s="6"/>
      <c r="D14" s="6">
        <v>4360040</v>
      </c>
      <c r="E14" s="6">
        <v>3327393</v>
      </c>
      <c r="F14" s="1"/>
    </row>
    <row r="15" spans="1:6" x14ac:dyDescent="0.25">
      <c r="A15" s="3" t="s">
        <v>11</v>
      </c>
      <c r="B15" s="6">
        <v>42975</v>
      </c>
      <c r="D15" s="6">
        <v>42975</v>
      </c>
      <c r="E15" s="6">
        <v>3222957</v>
      </c>
      <c r="F15" s="1"/>
    </row>
    <row r="16" spans="1:6" x14ac:dyDescent="0.25">
      <c r="A16" s="3" t="s">
        <v>12</v>
      </c>
      <c r="B16" s="6"/>
      <c r="C16" s="6"/>
      <c r="E16" s="6">
        <v>405754</v>
      </c>
      <c r="F16" s="1"/>
    </row>
    <row r="17" spans="1:6" x14ac:dyDescent="0.25">
      <c r="A17" s="3" t="s">
        <v>13</v>
      </c>
      <c r="B17" s="6">
        <v>10665420</v>
      </c>
      <c r="C17" s="6"/>
      <c r="D17" s="6">
        <v>10665420</v>
      </c>
      <c r="E17" s="6">
        <v>1767468</v>
      </c>
      <c r="F17" s="1"/>
    </row>
    <row r="18" spans="1:6" x14ac:dyDescent="0.25">
      <c r="A18" s="3" t="s">
        <v>14</v>
      </c>
      <c r="B18" s="6">
        <v>101195</v>
      </c>
      <c r="C18" s="6"/>
      <c r="D18" s="6">
        <v>101195</v>
      </c>
      <c r="E18" s="6">
        <v>217726</v>
      </c>
      <c r="F18" s="1"/>
    </row>
    <row r="19" spans="1:6" x14ac:dyDescent="0.25">
      <c r="A19" s="3" t="s">
        <v>15</v>
      </c>
      <c r="B19" s="6">
        <v>785375</v>
      </c>
      <c r="C19" s="6"/>
      <c r="D19" s="6">
        <v>785375</v>
      </c>
      <c r="E19" s="6">
        <v>732045</v>
      </c>
      <c r="F19" s="1"/>
    </row>
    <row r="20" spans="1:6" x14ac:dyDescent="0.25">
      <c r="A20" s="3" t="s">
        <v>16</v>
      </c>
      <c r="B20" s="6">
        <v>5114964</v>
      </c>
      <c r="C20" s="6"/>
      <c r="D20" s="6">
        <v>5114964</v>
      </c>
      <c r="E20" s="6">
        <v>4105534</v>
      </c>
      <c r="F20" s="1"/>
    </row>
    <row r="21" spans="1:6" x14ac:dyDescent="0.25">
      <c r="A21" s="3" t="s">
        <v>17</v>
      </c>
      <c r="B21" s="6">
        <v>38100</v>
      </c>
      <c r="C21" s="6"/>
      <c r="D21" s="6">
        <v>38100</v>
      </c>
      <c r="E21" s="6">
        <v>40542</v>
      </c>
      <c r="F21" s="1"/>
    </row>
    <row r="22" spans="1:6" x14ac:dyDescent="0.25">
      <c r="A22" s="3" t="s">
        <v>18</v>
      </c>
      <c r="B22" s="6">
        <v>2211704</v>
      </c>
      <c r="C22" s="6">
        <v>-2211704</v>
      </c>
      <c r="D22" s="6"/>
      <c r="E22" s="6"/>
      <c r="F22" s="1"/>
    </row>
    <row r="23" spans="1:6" x14ac:dyDescent="0.25">
      <c r="A23" s="3"/>
      <c r="B23" s="6"/>
      <c r="C23" s="6"/>
      <c r="D23" s="6"/>
      <c r="E23" s="6"/>
      <c r="F23" s="1"/>
    </row>
    <row r="24" spans="1:6" x14ac:dyDescent="0.25">
      <c r="A24" s="5" t="s">
        <v>19</v>
      </c>
      <c r="B24" s="6">
        <f>SUM(B12:B22)</f>
        <v>34733000</v>
      </c>
      <c r="C24" s="6">
        <f t="shared" ref="C24:E24" si="0">SUM(C12:C22)</f>
        <v>-655499</v>
      </c>
      <c r="D24" s="6">
        <f t="shared" si="0"/>
        <v>34077501</v>
      </c>
      <c r="E24" s="6">
        <f t="shared" si="0"/>
        <v>19572442</v>
      </c>
      <c r="F24" s="1"/>
    </row>
    <row r="25" spans="1:6" x14ac:dyDescent="0.25">
      <c r="A25" s="3"/>
      <c r="B25" s="6"/>
      <c r="C25" s="6"/>
      <c r="D25" s="6"/>
      <c r="E25" s="6"/>
      <c r="F25" s="1"/>
    </row>
    <row r="26" spans="1:6" x14ac:dyDescent="0.25">
      <c r="A26" s="5" t="s">
        <v>20</v>
      </c>
      <c r="B26" s="6"/>
      <c r="C26" s="6"/>
      <c r="D26" s="6"/>
      <c r="E26" s="6"/>
      <c r="F26" s="1"/>
    </row>
    <row r="27" spans="1:6" x14ac:dyDescent="0.25">
      <c r="A27" s="3" t="s">
        <v>21</v>
      </c>
      <c r="B27" s="6">
        <v>22727866</v>
      </c>
      <c r="C27" s="6"/>
      <c r="D27" s="6">
        <v>22727866</v>
      </c>
      <c r="E27" s="6">
        <v>12387653</v>
      </c>
      <c r="F27" s="1"/>
    </row>
    <row r="28" spans="1:6" x14ac:dyDescent="0.25">
      <c r="A28" s="3" t="s">
        <v>22</v>
      </c>
      <c r="B28" s="6">
        <v>1957498</v>
      </c>
      <c r="C28" s="6"/>
      <c r="D28" s="6">
        <v>1957498</v>
      </c>
      <c r="E28" s="6">
        <v>1210151</v>
      </c>
      <c r="F28" s="1"/>
    </row>
    <row r="29" spans="1:6" x14ac:dyDescent="0.25">
      <c r="A29" s="3" t="s">
        <v>23</v>
      </c>
      <c r="B29" s="6">
        <v>1393424</v>
      </c>
      <c r="C29" s="6"/>
      <c r="D29" s="6">
        <v>1393424</v>
      </c>
      <c r="E29" s="6">
        <v>1217528</v>
      </c>
      <c r="F29" s="6"/>
    </row>
    <row r="30" spans="1:6" x14ac:dyDescent="0.25">
      <c r="A30" s="3"/>
      <c r="B30" s="6"/>
      <c r="C30" s="6"/>
      <c r="D30" s="6"/>
      <c r="E30" s="6"/>
      <c r="F30" s="1"/>
    </row>
    <row r="31" spans="1:6" x14ac:dyDescent="0.25">
      <c r="A31" s="5" t="s">
        <v>24</v>
      </c>
      <c r="B31" s="6">
        <f>SUM(B27:B30)</f>
        <v>26078788</v>
      </c>
      <c r="C31" s="6"/>
      <c r="D31" s="6">
        <f>SUM(D27:D30)</f>
        <v>26078788</v>
      </c>
      <c r="E31" s="6">
        <f>SUM(E27:E30)</f>
        <v>14815332</v>
      </c>
      <c r="F31" s="1"/>
    </row>
    <row r="32" spans="1:6" x14ac:dyDescent="0.25">
      <c r="A32" s="5"/>
      <c r="B32" s="6"/>
      <c r="C32" s="6"/>
      <c r="D32" s="6"/>
      <c r="E32" s="6"/>
      <c r="F32" s="1"/>
    </row>
    <row r="33" spans="1:6" x14ac:dyDescent="0.25">
      <c r="A33" s="5" t="s">
        <v>25</v>
      </c>
      <c r="B33" s="6">
        <f>B24-B31</f>
        <v>8654212</v>
      </c>
      <c r="C33" s="6">
        <f>C24-C31</f>
        <v>-655499</v>
      </c>
      <c r="D33" s="6">
        <f>D24-D31</f>
        <v>7998713</v>
      </c>
      <c r="E33" s="6">
        <f>E24-E31</f>
        <v>4757110</v>
      </c>
      <c r="F33" s="1"/>
    </row>
    <row r="34" spans="1:6" x14ac:dyDescent="0.25">
      <c r="A34" s="3"/>
      <c r="B34" s="6"/>
      <c r="C34" s="6"/>
      <c r="D34" s="6"/>
      <c r="E34" s="6"/>
      <c r="F34" s="1"/>
    </row>
    <row r="35" spans="1:6" x14ac:dyDescent="0.25">
      <c r="A35" s="3" t="s">
        <v>26</v>
      </c>
      <c r="B35" s="6">
        <v>25789768</v>
      </c>
      <c r="C35" s="6">
        <v>2368550</v>
      </c>
      <c r="D35" s="6">
        <v>28158318</v>
      </c>
      <c r="E35" s="6">
        <v>23401208</v>
      </c>
      <c r="F35" s="1"/>
    </row>
    <row r="36" spans="1:6" x14ac:dyDescent="0.25">
      <c r="A36" s="3" t="s">
        <v>27</v>
      </c>
      <c r="B36" s="6">
        <f>B35+B33</f>
        <v>34443980</v>
      </c>
      <c r="C36" s="6">
        <f>C35+C33</f>
        <v>1713051</v>
      </c>
      <c r="D36" s="6">
        <f>D35+D33</f>
        <v>36157031</v>
      </c>
      <c r="E36" s="6">
        <f>E35+E33</f>
        <v>28158318</v>
      </c>
      <c r="F36" s="1"/>
    </row>
    <row r="41" spans="1:6" x14ac:dyDescent="0.25">
      <c r="A41" s="18" t="s">
        <v>73</v>
      </c>
      <c r="B41" s="16"/>
      <c r="C41" s="16"/>
      <c r="D41" s="16"/>
      <c r="E41" s="16"/>
    </row>
    <row r="43" spans="1:6" x14ac:dyDescent="0.25">
      <c r="A43" s="7"/>
      <c r="B43" s="8">
        <v>2022</v>
      </c>
      <c r="C43" s="8" t="s">
        <v>30</v>
      </c>
    </row>
    <row r="44" spans="1:6" x14ac:dyDescent="0.25">
      <c r="A44" s="9" t="s">
        <v>31</v>
      </c>
      <c r="B44" s="9"/>
      <c r="C44" s="9"/>
    </row>
    <row r="45" spans="1:6" x14ac:dyDescent="0.25">
      <c r="A45" s="9" t="s">
        <v>32</v>
      </c>
      <c r="B45" s="10">
        <v>7998713</v>
      </c>
      <c r="C45" s="10">
        <v>4757110</v>
      </c>
    </row>
    <row r="46" spans="1:6" x14ac:dyDescent="0.25">
      <c r="A46" s="19" t="s">
        <v>33</v>
      </c>
      <c r="B46" s="20"/>
      <c r="C46" s="10"/>
    </row>
    <row r="47" spans="1:6" x14ac:dyDescent="0.25">
      <c r="A47" s="13" t="s">
        <v>34</v>
      </c>
      <c r="B47" s="10">
        <v>206822</v>
      </c>
      <c r="C47" s="10">
        <v>174507</v>
      </c>
    </row>
    <row r="48" spans="1:6" x14ac:dyDescent="0.25">
      <c r="A48" s="13" t="s">
        <v>35</v>
      </c>
      <c r="B48" s="10">
        <v>-4800</v>
      </c>
      <c r="C48" s="10">
        <v>-186108</v>
      </c>
    </row>
    <row r="49" spans="1:3" x14ac:dyDescent="0.25">
      <c r="A49" s="13" t="s">
        <v>36</v>
      </c>
      <c r="B49" s="10">
        <v>-323028</v>
      </c>
      <c r="C49" s="10">
        <v>-389699</v>
      </c>
    </row>
    <row r="50" spans="1:3" x14ac:dyDescent="0.25">
      <c r="A50" s="13" t="s">
        <v>37</v>
      </c>
      <c r="C50" s="10">
        <v>-120791</v>
      </c>
    </row>
    <row r="51" spans="1:3" x14ac:dyDescent="0.25">
      <c r="A51" s="13" t="s">
        <v>38</v>
      </c>
      <c r="B51" s="10"/>
      <c r="C51" s="10"/>
    </row>
    <row r="52" spans="1:3" x14ac:dyDescent="0.25">
      <c r="A52" s="14" t="s">
        <v>39</v>
      </c>
      <c r="B52" s="10">
        <v>-261862</v>
      </c>
      <c r="C52" s="10">
        <v>-159943</v>
      </c>
    </row>
    <row r="53" spans="1:3" x14ac:dyDescent="0.25">
      <c r="A53" s="14" t="s">
        <v>40</v>
      </c>
      <c r="B53" s="10">
        <v>-183150</v>
      </c>
      <c r="C53" s="10">
        <v>-16786</v>
      </c>
    </row>
    <row r="54" spans="1:3" x14ac:dyDescent="0.25">
      <c r="A54" s="14" t="s">
        <v>41</v>
      </c>
      <c r="B54" s="10">
        <v>838753</v>
      </c>
      <c r="C54" s="10">
        <v>-1014914</v>
      </c>
    </row>
    <row r="55" spans="1:3" x14ac:dyDescent="0.25">
      <c r="A55" s="14" t="s">
        <v>42</v>
      </c>
      <c r="B55" s="10">
        <v>-10311987</v>
      </c>
      <c r="C55" s="10">
        <v>-13000000</v>
      </c>
    </row>
    <row r="56" spans="1:3" x14ac:dyDescent="0.25">
      <c r="A56" s="14" t="s">
        <v>43</v>
      </c>
      <c r="B56" s="10">
        <v>-166651</v>
      </c>
      <c r="C56" s="10">
        <v>-20443</v>
      </c>
    </row>
    <row r="57" spans="1:3" x14ac:dyDescent="0.25">
      <c r="A57" s="14" t="s">
        <v>44</v>
      </c>
      <c r="B57" s="10">
        <v>23524</v>
      </c>
      <c r="C57" s="10">
        <v>-7749</v>
      </c>
    </row>
    <row r="58" spans="1:3" x14ac:dyDescent="0.25">
      <c r="A58" s="14" t="s">
        <v>45</v>
      </c>
      <c r="B58" s="10">
        <v>32302</v>
      </c>
      <c r="C58" s="10">
        <v>537368</v>
      </c>
    </row>
    <row r="59" spans="1:3" x14ac:dyDescent="0.25">
      <c r="A59" s="14" t="s">
        <v>46</v>
      </c>
      <c r="B59" s="10">
        <v>0</v>
      </c>
      <c r="C59" s="10">
        <v>63370</v>
      </c>
    </row>
    <row r="60" spans="1:3" x14ac:dyDescent="0.25">
      <c r="A60" s="14" t="s">
        <v>47</v>
      </c>
      <c r="B60" s="10">
        <v>151567</v>
      </c>
      <c r="C60" s="10">
        <v>0</v>
      </c>
    </row>
    <row r="61" spans="1:3" x14ac:dyDescent="0.25">
      <c r="A61" s="14" t="s">
        <v>48</v>
      </c>
      <c r="B61" s="10">
        <v>-52231</v>
      </c>
      <c r="C61" s="10">
        <v>216695</v>
      </c>
    </row>
    <row r="62" spans="1:3" x14ac:dyDescent="0.25">
      <c r="A62" s="9"/>
      <c r="B62" s="10"/>
      <c r="C62" s="10"/>
    </row>
    <row r="63" spans="1:3" x14ac:dyDescent="0.25">
      <c r="A63" s="12" t="s">
        <v>49</v>
      </c>
      <c r="B63" s="15">
        <v>-2052028</v>
      </c>
      <c r="C63" s="15">
        <v>-8784716</v>
      </c>
    </row>
    <row r="64" spans="1:3" x14ac:dyDescent="0.25">
      <c r="A64" s="12"/>
      <c r="B64" s="10"/>
      <c r="C64" s="10"/>
    </row>
    <row r="65" spans="1:3" x14ac:dyDescent="0.25">
      <c r="A65" s="21" t="s">
        <v>50</v>
      </c>
      <c r="B65" s="21"/>
      <c r="C65" s="21"/>
    </row>
    <row r="66" spans="1:3" x14ac:dyDescent="0.25">
      <c r="A66" s="9" t="s">
        <v>51</v>
      </c>
      <c r="B66" s="10">
        <v>864398</v>
      </c>
      <c r="C66" s="10">
        <v>695402</v>
      </c>
    </row>
    <row r="67" spans="1:3" x14ac:dyDescent="0.25">
      <c r="A67" s="9" t="s">
        <v>52</v>
      </c>
      <c r="B67" s="10">
        <v>1105099</v>
      </c>
      <c r="C67" s="10">
        <v>1057489</v>
      </c>
    </row>
    <row r="68" spans="1:3" x14ac:dyDescent="0.25">
      <c r="A68" s="9" t="s">
        <v>53</v>
      </c>
      <c r="B68" s="10">
        <v>4800</v>
      </c>
      <c r="C68" s="10">
        <v>358751</v>
      </c>
    </row>
    <row r="69" spans="1:3" x14ac:dyDescent="0.25">
      <c r="A69" s="9" t="s">
        <v>54</v>
      </c>
      <c r="B69" s="10">
        <v>-233811</v>
      </c>
      <c r="C69" s="10">
        <v>-345480</v>
      </c>
    </row>
    <row r="70" spans="1:3" x14ac:dyDescent="0.25">
      <c r="A70" s="9" t="s">
        <v>55</v>
      </c>
      <c r="B70" s="10">
        <v>-2358343</v>
      </c>
      <c r="C70" s="10">
        <v>0</v>
      </c>
    </row>
    <row r="71" spans="1:3" x14ac:dyDescent="0.25">
      <c r="A71" s="9"/>
      <c r="B71" s="10"/>
      <c r="C71" s="10"/>
    </row>
    <row r="72" spans="1:3" x14ac:dyDescent="0.25">
      <c r="A72" s="12" t="s">
        <v>56</v>
      </c>
      <c r="B72" s="15">
        <v>-617857</v>
      </c>
      <c r="C72" s="15">
        <v>1766162</v>
      </c>
    </row>
    <row r="73" spans="1:3" x14ac:dyDescent="0.25">
      <c r="A73" s="9"/>
      <c r="B73" s="10"/>
      <c r="C73" s="10"/>
    </row>
    <row r="74" spans="1:3" x14ac:dyDescent="0.25">
      <c r="A74" s="21" t="s">
        <v>57</v>
      </c>
      <c r="B74" s="21"/>
      <c r="C74" s="21"/>
    </row>
    <row r="75" spans="1:3" x14ac:dyDescent="0.25">
      <c r="A75" s="9" t="s">
        <v>58</v>
      </c>
      <c r="B75" s="10">
        <v>-198488</v>
      </c>
      <c r="C75" s="10">
        <v>0</v>
      </c>
    </row>
    <row r="76" spans="1:3" x14ac:dyDescent="0.25">
      <c r="A76" s="9" t="s">
        <v>59</v>
      </c>
      <c r="B76" s="10">
        <v>-1105099</v>
      </c>
      <c r="C76" s="10">
        <v>-1057489</v>
      </c>
    </row>
    <row r="77" spans="1:3" x14ac:dyDescent="0.25">
      <c r="A77" s="9" t="s">
        <v>60</v>
      </c>
      <c r="B77" s="10">
        <v>8982741</v>
      </c>
      <c r="C77" s="10">
        <v>7041752</v>
      </c>
    </row>
    <row r="78" spans="1:3" x14ac:dyDescent="0.25">
      <c r="A78" s="9" t="s">
        <v>61</v>
      </c>
      <c r="B78" s="10">
        <v>-146982</v>
      </c>
      <c r="C78" s="10">
        <v>-306398</v>
      </c>
    </row>
    <row r="79" spans="1:3" x14ac:dyDescent="0.25">
      <c r="A79" s="9"/>
      <c r="B79" s="10"/>
      <c r="C79" s="10"/>
    </row>
    <row r="80" spans="1:3" x14ac:dyDescent="0.25">
      <c r="A80" s="12" t="s">
        <v>62</v>
      </c>
      <c r="B80" s="15">
        <f>SUM(B75:B78)</f>
        <v>7532172</v>
      </c>
      <c r="C80" s="15">
        <f>SUM(C75:C78)</f>
        <v>5677865</v>
      </c>
    </row>
    <row r="81" spans="1:3" x14ac:dyDescent="0.25">
      <c r="A81" s="9"/>
      <c r="B81" s="10"/>
      <c r="C81" s="10"/>
    </row>
    <row r="82" spans="1:3" x14ac:dyDescent="0.25">
      <c r="A82" s="12" t="s">
        <v>63</v>
      </c>
      <c r="B82" s="15">
        <f>B63+B72+B80</f>
        <v>4862287</v>
      </c>
      <c r="C82" s="15">
        <f>C63+C72+C80</f>
        <v>-1340689</v>
      </c>
    </row>
    <row r="83" spans="1:3" x14ac:dyDescent="0.25">
      <c r="A83" s="12"/>
      <c r="B83" s="10"/>
      <c r="C83" s="10"/>
    </row>
    <row r="84" spans="1:3" x14ac:dyDescent="0.25">
      <c r="A84" s="9" t="s">
        <v>64</v>
      </c>
      <c r="B84" s="10">
        <v>2172429</v>
      </c>
      <c r="C84" s="10">
        <v>3513118</v>
      </c>
    </row>
    <row r="85" spans="1:3" x14ac:dyDescent="0.25">
      <c r="A85" s="12" t="s">
        <v>65</v>
      </c>
      <c r="B85" s="15">
        <f>B84+B82</f>
        <v>7034716</v>
      </c>
      <c r="C85" s="15">
        <f>C84+C82</f>
        <v>2172429</v>
      </c>
    </row>
    <row r="86" spans="1:3" x14ac:dyDescent="0.25">
      <c r="A86" s="12"/>
      <c r="B86" s="10"/>
      <c r="C86" s="10"/>
    </row>
    <row r="87" spans="1:3" x14ac:dyDescent="0.25">
      <c r="A87" s="21" t="s">
        <v>66</v>
      </c>
      <c r="B87" s="21"/>
      <c r="C87" s="21"/>
    </row>
    <row r="88" spans="1:3" x14ac:dyDescent="0.25">
      <c r="A88" s="9" t="s">
        <v>67</v>
      </c>
      <c r="B88" s="10">
        <v>6273472</v>
      </c>
      <c r="C88" s="10">
        <v>1505453</v>
      </c>
    </row>
    <row r="89" spans="1:3" x14ac:dyDescent="0.25">
      <c r="A89" s="9" t="s">
        <v>68</v>
      </c>
      <c r="B89" s="10">
        <v>761244</v>
      </c>
      <c r="C89" s="10">
        <v>666976</v>
      </c>
    </row>
    <row r="90" spans="1:3" x14ac:dyDescent="0.25">
      <c r="A90" s="9"/>
      <c r="B90" s="10"/>
      <c r="C90" s="10"/>
    </row>
    <row r="91" spans="1:3" x14ac:dyDescent="0.25">
      <c r="A91" s="12" t="s">
        <v>69</v>
      </c>
      <c r="B91" s="15">
        <f>SUM(B88:B89)</f>
        <v>7034716</v>
      </c>
      <c r="C91" s="15">
        <f>SUM(C88:C89)</f>
        <v>2172429</v>
      </c>
    </row>
    <row r="92" spans="1:3" x14ac:dyDescent="0.25">
      <c r="A92" s="9" t="s">
        <v>70</v>
      </c>
      <c r="B92" s="10"/>
      <c r="C92" s="10"/>
    </row>
    <row r="93" spans="1:3" x14ac:dyDescent="0.25">
      <c r="A93" s="9" t="s">
        <v>71</v>
      </c>
      <c r="B93" s="10">
        <v>0</v>
      </c>
      <c r="C93" s="10">
        <v>276102</v>
      </c>
    </row>
    <row r="94" spans="1:3" x14ac:dyDescent="0.25">
      <c r="A94" s="9" t="s">
        <v>72</v>
      </c>
      <c r="B94" s="10">
        <v>340000</v>
      </c>
      <c r="C94" s="10">
        <v>142282</v>
      </c>
    </row>
    <row r="95" spans="1:3" x14ac:dyDescent="0.25">
      <c r="B95" s="11"/>
      <c r="C95" s="11"/>
    </row>
  </sheetData>
  <mergeCells count="10">
    <mergeCell ref="A41:E41"/>
    <mergeCell ref="A46:B46"/>
    <mergeCell ref="A65:C65"/>
    <mergeCell ref="A74:C74"/>
    <mergeCell ref="A87:C87"/>
    <mergeCell ref="A1:E1"/>
    <mergeCell ref="A2:E2"/>
    <mergeCell ref="A3:E3"/>
    <mergeCell ref="A4:E4"/>
    <mergeCell ref="B9:C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Imse</cp:lastModifiedBy>
  <dcterms:created xsi:type="dcterms:W3CDTF">2025-05-14T22:27:46Z</dcterms:created>
  <dcterms:modified xsi:type="dcterms:W3CDTF">2025-11-26T22:41:35Z</dcterms:modified>
</cp:coreProperties>
</file>